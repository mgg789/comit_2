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AppData\Local\Temp\comit_model\"/>
    </mc:Choice>
  </mc:AlternateContent>
  <xr:revisionPtr revIDLastSave="0" documentId="13_ncr:1_{27C38CE2-14D9-4826-9E43-61B9330C7DB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Резюме" sheetId="1" r:id="rId1"/>
    <sheet name="Допущения" sheetId="2" r:id="rId2"/>
    <sheet name="Рынок" sheetId="3" r:id="rId3"/>
    <sheet name="Тарифы" sheetId="4" r:id="rId4"/>
    <sheet name="Затраты работодателя" sheetId="5" r:id="rId5"/>
    <sheet name="Триал" sheetId="6" r:id="rId6"/>
    <sheet name="Выручка" sheetId="7" r:id="rId7"/>
    <sheet name="Затраты" sheetId="8" r:id="rId8"/>
    <sheet name="Юнит-экономика" sheetId="9" r:id="rId9"/>
    <sheet name="Безубыточность" sheetId="10" r:id="rId10"/>
    <sheet name="Сценарии" sheetId="11" r:id="rId11"/>
    <sheet name="Источники" sheetId="12" r:id="rId12"/>
    <sheet name="Проверка" sheetId="13" r:id="rId13"/>
  </sheets>
  <definedNames>
    <definedName name="ACQ">Допущения!$C$68</definedName>
    <definedName name="AGENCY_FEE">Допущения!$C$10</definedName>
    <definedName name="CAC_DIRECT">Допущения!$C$67</definedName>
    <definedName name="CASUAL_ACT">Допущения!$C$40</definedName>
    <definedName name="CASUAL_SH">Допущения!$C$31</definedName>
    <definedName name="CHATS_PER_EMP">Допущения!$C$54</definedName>
    <definedName name="CHURN">Допущения!$C$64</definedName>
    <definedName name="COST_TRIAL_MKT">Допущения!$C$66</definedName>
    <definedName name="CPH_MKT">Допущения!$C$11</definedName>
    <definedName name="CPH_PLATFORM">Допущения!$C$12</definedName>
    <definedName name="DIRECT_NEW">Допущения!$C$63</definedName>
    <definedName name="FINE">Допущения!$C$25</definedName>
    <definedName name="FINE_SHARE">Допущения!$C$26</definedName>
    <definedName name="HABR_VAC">Допущения!$C$18</definedName>
    <definedName name="HH_DB">Допущения!$C$17</definedName>
    <definedName name="HH_VAC">Допущения!$C$19</definedName>
    <definedName name="HR_HRS">Допущения!$C$14</definedName>
    <definedName name="HR_HRS_COMIT">Допущения!$C$16</definedName>
    <definedName name="HR_RATE">Допущения!$C$15</definedName>
    <definedName name="INFRA_FIX">Допущения!$C$56</definedName>
    <definedName name="INFRA_PER_EMP">Допущения!$C$57</definedName>
    <definedName name="INV_PER_EMP_BIZ">Допущения!$C$39</definedName>
    <definedName name="INV_PER_EMP_CAS">Допущения!$C$35</definedName>
    <definedName name="INV_PER_EMP_SUB">Допущения!$C$38</definedName>
    <definedName name="INV_PER_HIRE">Допущения!$C$33</definedName>
    <definedName name="INV_PRICE">Допущения!$C$24</definedName>
    <definedName name="LLM_BUF">Допущения!$C$55</definedName>
    <definedName name="LLM_CHAT">Допущения!$C$53</definedName>
    <definedName name="LLM_IN">Допущения!$C$42</definedName>
    <definedName name="LLM_INV">Допущения!$C$52</definedName>
    <definedName name="LLM_OUT">Допущения!$C$43</definedName>
    <definedName name="LLM_VAC">Допущения!$C$51</definedName>
    <definedName name="OPEX_OTHER">Допущения!$C$73</definedName>
    <definedName name="PAYROLL_EARLY">Допущения!$C$71</definedName>
    <definedName name="PAYROLL_LATE">Допущения!$C$72</definedName>
    <definedName name="SAL_JUN">Допущения!$C$7</definedName>
    <definedName name="SAL_MEDIAN">Допущения!$C$6</definedName>
    <definedName name="SAL_MID">Допущения!$C$8</definedName>
    <definedName name="SAL_SEN">Допущения!$C$9</definedName>
    <definedName name="SUB_BIZ">Допущения!$C$28</definedName>
    <definedName name="SUB_BIZ_SH">Допущения!$C$30</definedName>
    <definedName name="SUB_START">Допущения!$C$27</definedName>
    <definedName name="SUB_START_SH">Допущения!$C$29</definedName>
    <definedName name="SUPPORT_TRIAL">Допущения!$C$69</definedName>
    <definedName name="TOK_CHAT_IN">Допущения!$C$49</definedName>
    <definedName name="TOK_CHAT_OUT">Допущения!$C$50</definedName>
    <definedName name="TOK_INV_IN">Допущения!$C$47</definedName>
    <definedName name="TOK_INV_OUT">Допущения!$C$48</definedName>
    <definedName name="TOK_VAC_IN">Допущения!$C$45</definedName>
    <definedName name="TOK_VAC_OUT">Допущения!$C$46</definedName>
    <definedName name="TRIAL_CAP">Допущения!$C$61</definedName>
    <definedName name="TRIAL_CONV">Допущения!$C$62</definedName>
    <definedName name="TRIAL_GR">Допущения!$C$60</definedName>
    <definedName name="TRIALS_M1">Допущения!$C$59</definedName>
    <definedName name="TTH_MKT">Допущения!$C$13</definedName>
    <definedName name="USD">Допущения!$C$44</definedName>
    <definedName name="VAC_AVG">Допущения!$C$23</definedName>
    <definedName name="VAC_FIRST">Допущения!$C$21</definedName>
    <definedName name="VAC_NEXT">Допущения!$C$22</definedName>
    <definedName name="VAC_PER_EMP">Допущения!$C$34</definedName>
    <definedName name="VAC_PER_EMP_BIZ">Допущения!$C$37</definedName>
    <definedName name="VAC_PER_EMP_SUB">Допущения!$C$36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0" l="1"/>
  <c r="C13" i="9"/>
  <c r="C12" i="9"/>
  <c r="Z13" i="8"/>
  <c r="Y13" i="8"/>
  <c r="X13" i="8"/>
  <c r="W13" i="8"/>
  <c r="V13" i="8"/>
  <c r="U13" i="8"/>
  <c r="T13" i="8"/>
  <c r="S13" i="8"/>
  <c r="R13" i="8"/>
  <c r="Q13" i="8"/>
  <c r="P13" i="8"/>
  <c r="O13" i="8"/>
  <c r="N13" i="8"/>
  <c r="M13" i="8"/>
  <c r="L13" i="8"/>
  <c r="K13" i="8"/>
  <c r="J13" i="8"/>
  <c r="I13" i="8"/>
  <c r="H13" i="8"/>
  <c r="G13" i="8"/>
  <c r="F13" i="8"/>
  <c r="E13" i="8"/>
  <c r="D13" i="8"/>
  <c r="C13" i="8"/>
  <c r="Z12" i="8"/>
  <c r="Y12" i="8"/>
  <c r="X12" i="8"/>
  <c r="W12" i="8"/>
  <c r="V12" i="8"/>
  <c r="U12" i="8"/>
  <c r="T12" i="8"/>
  <c r="S12" i="8"/>
  <c r="R12" i="8"/>
  <c r="Q12" i="8"/>
  <c r="P12" i="8"/>
  <c r="O12" i="8"/>
  <c r="N12" i="8"/>
  <c r="M12" i="8"/>
  <c r="L12" i="8"/>
  <c r="K12" i="8"/>
  <c r="J12" i="8"/>
  <c r="I12" i="8"/>
  <c r="H12" i="8"/>
  <c r="G12" i="8"/>
  <c r="F12" i="8"/>
  <c r="E12" i="8"/>
  <c r="D12" i="8"/>
  <c r="C12" i="8"/>
  <c r="X6" i="7"/>
  <c r="W6" i="7"/>
  <c r="V6" i="7"/>
  <c r="K6" i="7"/>
  <c r="J6" i="7"/>
  <c r="I6" i="7"/>
  <c r="Z5" i="7"/>
  <c r="Y5" i="7"/>
  <c r="Y10" i="8" s="1"/>
  <c r="X5" i="7"/>
  <c r="X10" i="8" s="1"/>
  <c r="W5" i="7"/>
  <c r="W10" i="8" s="1"/>
  <c r="V5" i="7"/>
  <c r="V10" i="8" s="1"/>
  <c r="U5" i="7"/>
  <c r="U10" i="8" s="1"/>
  <c r="T5" i="7"/>
  <c r="T10" i="8" s="1"/>
  <c r="S5" i="7"/>
  <c r="S6" i="7" s="1"/>
  <c r="R5" i="7"/>
  <c r="R10" i="8" s="1"/>
  <c r="Q5" i="7"/>
  <c r="Q10" i="8" s="1"/>
  <c r="P5" i="7"/>
  <c r="P10" i="8" s="1"/>
  <c r="O5" i="7"/>
  <c r="O6" i="7" s="1"/>
  <c r="N5" i="7"/>
  <c r="M5" i="7"/>
  <c r="M10" i="8" s="1"/>
  <c r="L5" i="7"/>
  <c r="L10" i="8" s="1"/>
  <c r="K5" i="7"/>
  <c r="K10" i="8" s="1"/>
  <c r="J5" i="7"/>
  <c r="J10" i="8" s="1"/>
  <c r="I5" i="7"/>
  <c r="I10" i="8" s="1"/>
  <c r="H5" i="7"/>
  <c r="H10" i="8" s="1"/>
  <c r="G5" i="7"/>
  <c r="G6" i="7" s="1"/>
  <c r="F5" i="7"/>
  <c r="F6" i="7" s="1"/>
  <c r="E5" i="7"/>
  <c r="E10" i="8" s="1"/>
  <c r="D5" i="7"/>
  <c r="D10" i="8" s="1"/>
  <c r="C5" i="7"/>
  <c r="C10" i="8" s="1"/>
  <c r="C17" i="6"/>
  <c r="C16" i="6"/>
  <c r="C15" i="6"/>
  <c r="G11" i="5"/>
  <c r="E11" i="5"/>
  <c r="C11" i="5"/>
  <c r="F11" i="5" s="1"/>
  <c r="G10" i="5"/>
  <c r="E10" i="5"/>
  <c r="C10" i="5"/>
  <c r="F10" i="5" s="1"/>
  <c r="E9" i="5"/>
  <c r="C9" i="5"/>
  <c r="F9" i="5" s="1"/>
  <c r="G8" i="5"/>
  <c r="E8" i="5"/>
  <c r="F8" i="5" s="1"/>
  <c r="C8" i="5"/>
  <c r="G7" i="5"/>
  <c r="D7" i="5"/>
  <c r="E7" i="5" s="1"/>
  <c r="C7" i="5"/>
  <c r="D6" i="5"/>
  <c r="E6" i="5" s="1"/>
  <c r="C6" i="5"/>
  <c r="D5" i="5"/>
  <c r="E5" i="5" s="1"/>
  <c r="F5" i="5" s="1"/>
  <c r="C5" i="5"/>
  <c r="C10" i="4"/>
  <c r="C9" i="4"/>
  <c r="C8" i="4"/>
  <c r="C7" i="4"/>
  <c r="C6" i="4"/>
  <c r="C5" i="4"/>
  <c r="C53" i="2"/>
  <c r="C52" i="2"/>
  <c r="C51" i="2"/>
  <c r="C31" i="2"/>
  <c r="C23" i="2"/>
  <c r="E13" i="11"/>
  <c r="D13" i="11"/>
  <c r="C13" i="11"/>
  <c r="E6" i="7" l="1"/>
  <c r="H6" i="7"/>
  <c r="F7" i="5"/>
  <c r="G10" i="8"/>
  <c r="P6" i="7"/>
  <c r="O10" i="8"/>
  <c r="C14" i="6"/>
  <c r="T6" i="7"/>
  <c r="U6" i="7"/>
  <c r="AA12" i="8"/>
  <c r="C6" i="7"/>
  <c r="C8" i="7" s="1"/>
  <c r="F6" i="5"/>
  <c r="F10" i="8"/>
  <c r="C10" i="13"/>
  <c r="F13" i="5"/>
  <c r="D10" i="13" s="1"/>
  <c r="D5" i="1"/>
  <c r="F14" i="5"/>
  <c r="B5" i="1"/>
  <c r="G14" i="5"/>
  <c r="F5" i="1" s="1"/>
  <c r="G13" i="5"/>
  <c r="N10" i="8"/>
  <c r="C15" i="9" s="1"/>
  <c r="N6" i="7"/>
  <c r="AA5" i="7"/>
  <c r="Q6" i="7"/>
  <c r="C7" i="9"/>
  <c r="C6" i="9"/>
  <c r="C5" i="9"/>
  <c r="C21" i="6"/>
  <c r="Z10" i="8"/>
  <c r="Z6" i="7"/>
  <c r="C16" i="11"/>
  <c r="E16" i="11"/>
  <c r="D16" i="11"/>
  <c r="D6" i="7"/>
  <c r="R6" i="7"/>
  <c r="Y6" i="7"/>
  <c r="C18" i="6"/>
  <c r="L6" i="7"/>
  <c r="S10" i="8"/>
  <c r="M6" i="7"/>
  <c r="AA13" i="8"/>
  <c r="C10" i="7" l="1"/>
  <c r="C15" i="7" s="1"/>
  <c r="C9" i="7"/>
  <c r="C14" i="7" s="1"/>
  <c r="D7" i="7"/>
  <c r="C7" i="8"/>
  <c r="AA6" i="7"/>
  <c r="AA10" i="8"/>
  <c r="C11" i="7"/>
  <c r="C13" i="7" s="1"/>
  <c r="D8" i="7"/>
  <c r="D10" i="7" s="1"/>
  <c r="D15" i="7" s="1"/>
  <c r="C9" i="8"/>
  <c r="C18" i="9"/>
  <c r="C8" i="9"/>
  <c r="C9" i="9" s="1"/>
  <c r="C10" i="9" s="1"/>
  <c r="C12" i="7"/>
  <c r="D9" i="7"/>
  <c r="D14" i="7" s="1"/>
  <c r="E10" i="13"/>
  <c r="F24" i="11"/>
  <c r="D22" i="11"/>
  <c r="E14" i="11"/>
  <c r="E25" i="11"/>
  <c r="C22" i="11"/>
  <c r="D25" i="11"/>
  <c r="D15" i="11"/>
  <c r="E23" i="11"/>
  <c r="E24" i="11"/>
  <c r="C23" i="11"/>
  <c r="F23" i="11"/>
  <c r="E15" i="11"/>
  <c r="D21" i="11"/>
  <c r="G22" i="11"/>
  <c r="D24" i="11"/>
  <c r="D14" i="11"/>
  <c r="C25" i="11"/>
  <c r="G21" i="11"/>
  <c r="F22" i="11"/>
  <c r="G25" i="11"/>
  <c r="G24" i="11"/>
  <c r="C24" i="11"/>
  <c r="E22" i="11"/>
  <c r="E21" i="11"/>
  <c r="F21" i="11"/>
  <c r="C21" i="11"/>
  <c r="D23" i="11"/>
  <c r="C15" i="11"/>
  <c r="C14" i="11"/>
  <c r="G23" i="11"/>
  <c r="F25" i="11"/>
  <c r="D11" i="7" l="1"/>
  <c r="D9" i="8"/>
  <c r="D7" i="8"/>
  <c r="E7" i="7"/>
  <c r="E8" i="7" s="1"/>
  <c r="C16" i="7"/>
  <c r="C6" i="10"/>
  <c r="C7" i="10" s="1"/>
  <c r="C17" i="9"/>
  <c r="C14" i="9"/>
  <c r="C11" i="9"/>
  <c r="H9" i="1" s="1"/>
  <c r="C17" i="7"/>
  <c r="C5" i="8"/>
  <c r="D12" i="7"/>
  <c r="D13" i="7"/>
  <c r="D6" i="8" s="1"/>
  <c r="D16" i="7"/>
  <c r="C6" i="8"/>
  <c r="E7" i="8" l="1"/>
  <c r="E11" i="7"/>
  <c r="E9" i="7"/>
  <c r="E14" i="7" s="1"/>
  <c r="E10" i="7"/>
  <c r="E15" i="7" s="1"/>
  <c r="E9" i="8"/>
  <c r="F7" i="7"/>
  <c r="E16" i="7"/>
  <c r="E12" i="7"/>
  <c r="E13" i="7"/>
  <c r="D17" i="7"/>
  <c r="D18" i="7" s="1"/>
  <c r="D5" i="8"/>
  <c r="D8" i="8" s="1"/>
  <c r="F8" i="7"/>
  <c r="C8" i="8"/>
  <c r="E17" i="11"/>
  <c r="D17" i="11"/>
  <c r="C17" i="11"/>
  <c r="C20" i="6"/>
  <c r="C19" i="6"/>
  <c r="C16" i="9"/>
  <c r="F9" i="1" s="1"/>
  <c r="C18" i="7"/>
  <c r="D11" i="8" l="1"/>
  <c r="C19" i="7"/>
  <c r="D19" i="7" s="1"/>
  <c r="C11" i="8"/>
  <c r="F7" i="8"/>
  <c r="G7" i="7"/>
  <c r="F10" i="7"/>
  <c r="F15" i="7" s="1"/>
  <c r="F11" i="7"/>
  <c r="F9" i="8"/>
  <c r="F9" i="7"/>
  <c r="F14" i="7" s="1"/>
  <c r="D14" i="8"/>
  <c r="D15" i="8" s="1"/>
  <c r="E6" i="8"/>
  <c r="E17" i="7"/>
  <c r="E18" i="7" s="1"/>
  <c r="E5" i="8"/>
  <c r="E8" i="8" l="1"/>
  <c r="G8" i="7"/>
  <c r="E11" i="8"/>
  <c r="E19" i="7"/>
  <c r="C14" i="8"/>
  <c r="F16" i="7"/>
  <c r="F12" i="7"/>
  <c r="F13" i="7"/>
  <c r="C15" i="8" l="1"/>
  <c r="F6" i="8"/>
  <c r="E14" i="8"/>
  <c r="E15" i="8" s="1"/>
  <c r="F5" i="8"/>
  <c r="F8" i="8" s="1"/>
  <c r="F17" i="7"/>
  <c r="G10" i="7"/>
  <c r="G15" i="7" s="1"/>
  <c r="G11" i="7"/>
  <c r="G9" i="8"/>
  <c r="G9" i="7"/>
  <c r="G14" i="7" s="1"/>
  <c r="H7" i="7"/>
  <c r="H8" i="7" s="1"/>
  <c r="G7" i="8"/>
  <c r="G13" i="7" l="1"/>
  <c r="G16" i="7"/>
  <c r="G12" i="7"/>
  <c r="F18" i="7"/>
  <c r="C16" i="8"/>
  <c r="H10" i="7"/>
  <c r="H15" i="7" s="1"/>
  <c r="H9" i="8"/>
  <c r="H11" i="7"/>
  <c r="H9" i="7"/>
  <c r="H14" i="7" s="1"/>
  <c r="I7" i="7"/>
  <c r="I8" i="7" s="1"/>
  <c r="H7" i="8"/>
  <c r="I11" i="7" l="1"/>
  <c r="I9" i="7"/>
  <c r="I14" i="7" s="1"/>
  <c r="I9" i="8"/>
  <c r="J7" i="7"/>
  <c r="J8" i="7" s="1"/>
  <c r="I7" i="8"/>
  <c r="I10" i="7"/>
  <c r="I15" i="7" s="1"/>
  <c r="F11" i="8"/>
  <c r="F19" i="7"/>
  <c r="G5" i="8"/>
  <c r="G8" i="8" s="1"/>
  <c r="G17" i="7"/>
  <c r="D16" i="8"/>
  <c r="E16" i="8" s="1"/>
  <c r="H13" i="7"/>
  <c r="H6" i="8" s="1"/>
  <c r="H16" i="7"/>
  <c r="H12" i="7"/>
  <c r="G6" i="8"/>
  <c r="J11" i="7" l="1"/>
  <c r="J9" i="8"/>
  <c r="J9" i="7"/>
  <c r="J14" i="7" s="1"/>
  <c r="K7" i="7"/>
  <c r="K8" i="7" s="1"/>
  <c r="J7" i="8"/>
  <c r="J10" i="7"/>
  <c r="J15" i="7" s="1"/>
  <c r="F14" i="8"/>
  <c r="I13" i="7"/>
  <c r="I12" i="7"/>
  <c r="I16" i="7"/>
  <c r="H5" i="8"/>
  <c r="H8" i="8" s="1"/>
  <c r="H17" i="7"/>
  <c r="H18" i="7" s="1"/>
  <c r="G18" i="7"/>
  <c r="H11" i="8" l="1"/>
  <c r="G11" i="8"/>
  <c r="G14" i="8" s="1"/>
  <c r="G15" i="8" s="1"/>
  <c r="H14" i="8"/>
  <c r="H15" i="8" s="1"/>
  <c r="K11" i="7"/>
  <c r="K10" i="7"/>
  <c r="K15" i="7" s="1"/>
  <c r="K9" i="8"/>
  <c r="K7" i="8"/>
  <c r="L7" i="7"/>
  <c r="L8" i="7" s="1"/>
  <c r="K9" i="7"/>
  <c r="K14" i="7" s="1"/>
  <c r="G19" i="7"/>
  <c r="H19" i="7" s="1"/>
  <c r="I17" i="7"/>
  <c r="I18" i="7" s="1"/>
  <c r="I5" i="8"/>
  <c r="I6" i="8"/>
  <c r="F15" i="8"/>
  <c r="J12" i="7"/>
  <c r="J16" i="7"/>
  <c r="J13" i="7"/>
  <c r="J6" i="8" s="1"/>
  <c r="L10" i="7" l="1"/>
  <c r="L15" i="7" s="1"/>
  <c r="L9" i="8"/>
  <c r="L9" i="7"/>
  <c r="L14" i="7" s="1"/>
  <c r="L7" i="8"/>
  <c r="M7" i="7"/>
  <c r="M8" i="7" s="1"/>
  <c r="L11" i="7"/>
  <c r="I11" i="8"/>
  <c r="F16" i="8"/>
  <c r="I8" i="8"/>
  <c r="J5" i="8"/>
  <c r="J8" i="8" s="1"/>
  <c r="J17" i="7"/>
  <c r="J18" i="7" s="1"/>
  <c r="K16" i="7"/>
  <c r="K13" i="7"/>
  <c r="K6" i="8" s="1"/>
  <c r="K12" i="7"/>
  <c r="I19" i="7"/>
  <c r="M9" i="8" l="1"/>
  <c r="M9" i="7"/>
  <c r="M14" i="7" s="1"/>
  <c r="M7" i="8"/>
  <c r="N7" i="7"/>
  <c r="N8" i="7" s="1"/>
  <c r="M11" i="7"/>
  <c r="M10" i="7"/>
  <c r="M15" i="7" s="1"/>
  <c r="J11" i="8"/>
  <c r="J14" i="8" s="1"/>
  <c r="J15" i="8" s="1"/>
  <c r="J19" i="7"/>
  <c r="K5" i="8"/>
  <c r="K8" i="8" s="1"/>
  <c r="K17" i="7"/>
  <c r="K18" i="7" s="1"/>
  <c r="L13" i="7"/>
  <c r="L6" i="8" s="1"/>
  <c r="L16" i="7"/>
  <c r="L12" i="7"/>
  <c r="I14" i="8"/>
  <c r="G16" i="8"/>
  <c r="H16" i="8" s="1"/>
  <c r="N9" i="8" l="1"/>
  <c r="N7" i="8"/>
  <c r="N11" i="7"/>
  <c r="N9" i="7"/>
  <c r="N14" i="7" s="1"/>
  <c r="O7" i="7"/>
  <c r="N10" i="7"/>
  <c r="N15" i="7" s="1"/>
  <c r="O8" i="7"/>
  <c r="K11" i="8"/>
  <c r="K14" i="8" s="1"/>
  <c r="K19" i="7"/>
  <c r="L19" i="7" s="1"/>
  <c r="I16" i="8"/>
  <c r="M13" i="7"/>
  <c r="M6" i="8" s="1"/>
  <c r="M16" i="7"/>
  <c r="M12" i="7"/>
  <c r="I15" i="8"/>
  <c r="L5" i="8"/>
  <c r="L8" i="8" s="1"/>
  <c r="L17" i="7"/>
  <c r="L18" i="7" s="1"/>
  <c r="K15" i="8" l="1"/>
  <c r="J16" i="8"/>
  <c r="K16" i="8" s="1"/>
  <c r="N12" i="7"/>
  <c r="N13" i="7"/>
  <c r="N6" i="8" s="1"/>
  <c r="N16" i="7"/>
  <c r="L11" i="8"/>
  <c r="L14" i="8" s="1"/>
  <c r="L15" i="8" s="1"/>
  <c r="O11" i="7"/>
  <c r="O9" i="7"/>
  <c r="O14" i="7" s="1"/>
  <c r="O9" i="8"/>
  <c r="P7" i="7"/>
  <c r="P8" i="7" s="1"/>
  <c r="O7" i="8"/>
  <c r="O10" i="7"/>
  <c r="O15" i="7" s="1"/>
  <c r="M5" i="8"/>
  <c r="M8" i="8" s="1"/>
  <c r="M17" i="7"/>
  <c r="M18" i="7" s="1"/>
  <c r="M11" i="8" l="1"/>
  <c r="M14" i="8"/>
  <c r="M15" i="8" s="1"/>
  <c r="N5" i="8"/>
  <c r="N8" i="8" s="1"/>
  <c r="N17" i="7"/>
  <c r="N18" i="7" s="1"/>
  <c r="P10" i="7"/>
  <c r="P15" i="7" s="1"/>
  <c r="P11" i="7"/>
  <c r="P9" i="7"/>
  <c r="P14" i="7" s="1"/>
  <c r="Q7" i="7"/>
  <c r="Q8" i="7" s="1"/>
  <c r="P9" i="8"/>
  <c r="P7" i="8"/>
  <c r="O12" i="7"/>
  <c r="O16" i="7"/>
  <c r="O13" i="7"/>
  <c r="O6" i="8" s="1"/>
  <c r="M19" i="7"/>
  <c r="L16" i="8"/>
  <c r="Q9" i="8" l="1"/>
  <c r="Q9" i="7"/>
  <c r="Q14" i="7" s="1"/>
  <c r="R7" i="7"/>
  <c r="R8" i="7" s="1"/>
  <c r="Q7" i="8"/>
  <c r="Q10" i="7"/>
  <c r="Q15" i="7" s="1"/>
  <c r="Q11" i="7"/>
  <c r="N11" i="8"/>
  <c r="N14" i="8" s="1"/>
  <c r="N15" i="8" s="1"/>
  <c r="N19" i="7"/>
  <c r="P16" i="7"/>
  <c r="P12" i="7"/>
  <c r="P13" i="7"/>
  <c r="P6" i="8" s="1"/>
  <c r="M16" i="8"/>
  <c r="O17" i="7"/>
  <c r="O18" i="7" s="1"/>
  <c r="O5" i="8"/>
  <c r="O8" i="8" s="1"/>
  <c r="R7" i="8" l="1"/>
  <c r="S7" i="7"/>
  <c r="S8" i="7" s="1"/>
  <c r="R9" i="7"/>
  <c r="R14" i="7" s="1"/>
  <c r="R9" i="8"/>
  <c r="R10" i="7"/>
  <c r="R15" i="7" s="1"/>
  <c r="R11" i="7"/>
  <c r="O11" i="8"/>
  <c r="O14" i="8" s="1"/>
  <c r="O15" i="8" s="1"/>
  <c r="Q16" i="7"/>
  <c r="Q12" i="7"/>
  <c r="Q13" i="7"/>
  <c r="Q6" i="8" s="1"/>
  <c r="P17" i="7"/>
  <c r="P18" i="7" s="1"/>
  <c r="P5" i="8"/>
  <c r="P8" i="8" s="1"/>
  <c r="N16" i="8"/>
  <c r="O19" i="7"/>
  <c r="T7" i="7" l="1"/>
  <c r="T8" i="7" s="1"/>
  <c r="S9" i="8"/>
  <c r="S7" i="8"/>
  <c r="S10" i="7"/>
  <c r="S15" i="7" s="1"/>
  <c r="S11" i="7"/>
  <c r="S9" i="7"/>
  <c r="S14" i="7" s="1"/>
  <c r="R16" i="7"/>
  <c r="R12" i="7"/>
  <c r="R13" i="7"/>
  <c r="R6" i="8" s="1"/>
  <c r="P19" i="7"/>
  <c r="O16" i="8"/>
  <c r="Q17" i="7"/>
  <c r="Q18" i="7" s="1"/>
  <c r="Q5" i="8"/>
  <c r="Q8" i="8" s="1"/>
  <c r="P11" i="8"/>
  <c r="P14" i="8" s="1"/>
  <c r="P15" i="8" s="1"/>
  <c r="Q11" i="8" l="1"/>
  <c r="R5" i="8"/>
  <c r="R8" i="8" s="1"/>
  <c r="R17" i="7"/>
  <c r="R18" i="7" s="1"/>
  <c r="Q14" i="8"/>
  <c r="Q15" i="8" s="1"/>
  <c r="T9" i="8"/>
  <c r="T7" i="8"/>
  <c r="T10" i="7"/>
  <c r="T15" i="7" s="1"/>
  <c r="T11" i="7"/>
  <c r="T9" i="7"/>
  <c r="T14" i="7" s="1"/>
  <c r="U7" i="7"/>
  <c r="U8" i="7" s="1"/>
  <c r="Q19" i="7"/>
  <c r="S16" i="7"/>
  <c r="S12" i="7"/>
  <c r="S13" i="7"/>
  <c r="S6" i="8" s="1"/>
  <c r="P16" i="8"/>
  <c r="R11" i="8" l="1"/>
  <c r="T13" i="7"/>
  <c r="T6" i="8" s="1"/>
  <c r="T12" i="7"/>
  <c r="T16" i="7"/>
  <c r="U7" i="8"/>
  <c r="U10" i="7"/>
  <c r="U15" i="7" s="1"/>
  <c r="U11" i="7"/>
  <c r="U9" i="7"/>
  <c r="U14" i="7" s="1"/>
  <c r="V7" i="7"/>
  <c r="V8" i="7" s="1"/>
  <c r="U9" i="8"/>
  <c r="Q16" i="8"/>
  <c r="S17" i="7"/>
  <c r="S18" i="7" s="1"/>
  <c r="S5" i="8"/>
  <c r="S8" i="8" s="1"/>
  <c r="R14" i="8"/>
  <c r="R15" i="8" s="1"/>
  <c r="R19" i="7"/>
  <c r="S11" i="8" l="1"/>
  <c r="U13" i="7"/>
  <c r="U6" i="8" s="1"/>
  <c r="U12" i="7"/>
  <c r="U16" i="7"/>
  <c r="T17" i="7"/>
  <c r="T18" i="7" s="1"/>
  <c r="T5" i="8"/>
  <c r="T8" i="8" s="1"/>
  <c r="R16" i="8"/>
  <c r="V11" i="7"/>
  <c r="V9" i="8"/>
  <c r="V7" i="8"/>
  <c r="V10" i="7"/>
  <c r="V15" i="7" s="1"/>
  <c r="V9" i="7"/>
  <c r="V14" i="7" s="1"/>
  <c r="W7" i="7"/>
  <c r="W8" i="7" s="1"/>
  <c r="S19" i="7"/>
  <c r="S14" i="8"/>
  <c r="S15" i="8" s="1"/>
  <c r="T11" i="8" l="1"/>
  <c r="T14" i="8" s="1"/>
  <c r="T15" i="8" s="1"/>
  <c r="W11" i="7"/>
  <c r="W10" i="7"/>
  <c r="W15" i="7" s="1"/>
  <c r="W9" i="8"/>
  <c r="W7" i="8"/>
  <c r="W9" i="7"/>
  <c r="W14" i="7" s="1"/>
  <c r="X7" i="7"/>
  <c r="X8" i="7" s="1"/>
  <c r="V12" i="7"/>
  <c r="V16" i="7"/>
  <c r="V13" i="7"/>
  <c r="V6" i="8" s="1"/>
  <c r="S16" i="8"/>
  <c r="T19" i="7"/>
  <c r="U17" i="7"/>
  <c r="U18" i="7" s="1"/>
  <c r="U5" i="8"/>
  <c r="U8" i="8" s="1"/>
  <c r="X10" i="7" l="1"/>
  <c r="X15" i="7" s="1"/>
  <c r="X9" i="8"/>
  <c r="X9" i="7"/>
  <c r="X14" i="7" s="1"/>
  <c r="X7" i="8"/>
  <c r="X11" i="7"/>
  <c r="Y7" i="7"/>
  <c r="Y8" i="7" s="1"/>
  <c r="V17" i="7"/>
  <c r="V18" i="7" s="1"/>
  <c r="V5" i="8"/>
  <c r="V8" i="8" s="1"/>
  <c r="U11" i="8"/>
  <c r="U14" i="8" s="1"/>
  <c r="U15" i="8" s="1"/>
  <c r="U19" i="7"/>
  <c r="W12" i="7"/>
  <c r="W13" i="7"/>
  <c r="W6" i="8" s="1"/>
  <c r="W16" i="7"/>
  <c r="T16" i="8"/>
  <c r="V11" i="8" l="1"/>
  <c r="Y9" i="8"/>
  <c r="Y9" i="7"/>
  <c r="Y14" i="7" s="1"/>
  <c r="Y7" i="8"/>
  <c r="Z7" i="7"/>
  <c r="AA7" i="7" s="1"/>
  <c r="Y10" i="7"/>
  <c r="Y15" i="7" s="1"/>
  <c r="Y11" i="7"/>
  <c r="V14" i="8"/>
  <c r="V15" i="8" s="1"/>
  <c r="X13" i="7"/>
  <c r="X6" i="8" s="1"/>
  <c r="X16" i="7"/>
  <c r="X12" i="7"/>
  <c r="V19" i="7"/>
  <c r="U16" i="8"/>
  <c r="W5" i="8"/>
  <c r="W8" i="8" s="1"/>
  <c r="W17" i="7"/>
  <c r="W18" i="7" s="1"/>
  <c r="Y13" i="7" l="1"/>
  <c r="Y6" i="8" s="1"/>
  <c r="Y16" i="7"/>
  <c r="Y12" i="7"/>
  <c r="Z8" i="7"/>
  <c r="W11" i="8"/>
  <c r="W14" i="8" s="1"/>
  <c r="W15" i="8" s="1"/>
  <c r="C6" i="13"/>
  <c r="V16" i="8"/>
  <c r="W19" i="7"/>
  <c r="X5" i="8"/>
  <c r="X8" i="8" s="1"/>
  <c r="X17" i="7"/>
  <c r="X18" i="7" s="1"/>
  <c r="X19" i="7" l="1"/>
  <c r="D6" i="13"/>
  <c r="Z9" i="8"/>
  <c r="AA9" i="8" s="1"/>
  <c r="Z7" i="8"/>
  <c r="C9" i="10"/>
  <c r="AA8" i="7"/>
  <c r="H5" i="1"/>
  <c r="Z9" i="7"/>
  <c r="Z11" i="7"/>
  <c r="Z10" i="7"/>
  <c r="C9" i="13"/>
  <c r="Y5" i="8"/>
  <c r="Y8" i="8" s="1"/>
  <c r="Y17" i="7"/>
  <c r="Y18" i="7" s="1"/>
  <c r="Y19" i="7" s="1"/>
  <c r="W16" i="8"/>
  <c r="E6" i="13"/>
  <c r="X11" i="8"/>
  <c r="X14" i="8" s="1"/>
  <c r="X15" i="8" s="1"/>
  <c r="Z12" i="7" l="1"/>
  <c r="AA11" i="7"/>
  <c r="Z16" i="7"/>
  <c r="AA16" i="7" s="1"/>
  <c r="Z13" i="7"/>
  <c r="X16" i="8"/>
  <c r="Z15" i="7"/>
  <c r="AA15" i="7" s="1"/>
  <c r="AA10" i="7"/>
  <c r="AA9" i="7"/>
  <c r="Z14" i="7"/>
  <c r="Y11" i="8"/>
  <c r="Y14" i="8" s="1"/>
  <c r="Y15" i="8" s="1"/>
  <c r="AA14" i="7" l="1"/>
  <c r="Z6" i="8"/>
  <c r="AA13" i="7"/>
  <c r="Z5" i="8"/>
  <c r="Z8" i="8" s="1"/>
  <c r="Z17" i="7"/>
  <c r="AA17" i="7" s="1"/>
  <c r="AA12" i="7"/>
  <c r="Y16" i="8"/>
  <c r="Z18" i="7" l="1"/>
  <c r="AA8" i="8"/>
  <c r="C5" i="13"/>
  <c r="D9" i="13" l="1"/>
  <c r="E9" i="13" s="1"/>
  <c r="D5" i="13"/>
  <c r="E5" i="13" s="1"/>
  <c r="B9" i="1"/>
  <c r="Z11" i="8"/>
  <c r="AA18" i="7"/>
  <c r="Z19" i="7"/>
  <c r="AA19" i="7" s="1"/>
  <c r="AA11" i="8" l="1"/>
  <c r="C7" i="13"/>
  <c r="Z14" i="8"/>
  <c r="D7" i="13" l="1"/>
  <c r="AA14" i="8"/>
  <c r="Z15" i="8"/>
  <c r="C8" i="13"/>
  <c r="E7" i="13"/>
  <c r="D8" i="13" l="1"/>
  <c r="C8" i="10"/>
  <c r="D9" i="1" s="1"/>
  <c r="AA15" i="8"/>
  <c r="Z16" i="8"/>
  <c r="E8" i="13"/>
  <c r="AA16" i="8" l="1"/>
  <c r="C10" i="10"/>
</calcChain>
</file>

<file path=xl/sharedStrings.xml><?xml version="1.0" encoding="utf-8"?>
<sst xmlns="http://schemas.openxmlformats.org/spreadsheetml/2006/main" count="602" uniqueCount="489">
  <si>
    <t>COMIT — экономическая модель: резюме</t>
  </si>
  <si>
    <t>Платформа подбора IT-специалистов с обратной механикой (ЛЦТ 2026, спецтрек ФСП). Все цифры — живые формулы; входные параметры на листе «Допущения».</t>
  </si>
  <si>
    <t>Стоимость найма через COMIT</t>
  </si>
  <si>
    <t>Полная стоимость найма на рынке</t>
  </si>
  <si>
    <t>Экономия работодателя</t>
  </si>
  <si>
    <t>Платящих на мес 24</t>
  </si>
  <si>
    <t>ARR к месяцу 24</t>
  </si>
  <si>
    <t>Месяц выхода EBITDA в плюс</t>
  </si>
  <si>
    <t>LTV / CAC</t>
  </si>
  <si>
    <t>Валовая маржа</t>
  </si>
  <si>
    <t>Выводы</t>
  </si>
  <si>
    <t>1. Ценность для работодателя: один найм через COMIT стоит ≈ 4,1 тыс ₽ против ≈ 448 тыс ₽ через агентство и ≈ 548 тыс ₽ полной рыночной стоимости найма (25–30% годовой ЗП) — экономия &gt; 99%. Основной эффект: готовая проверенная подборка вместо сотен откликов и 80 часов HR.</t>
  </si>
  <si>
    <t>2. Монетизация: тариф 199 ₽/499 ₽ за вакансию и 49 ₽ за приглашение ниже конкурентов (hh ~800 ₽/вакансия, база 22 080 ₽/нед, Хабр 4 026 ₽/вакансия) — вход без барьера; рост выручки за счёт подписок «Старт»/«Бизнес» (ARPU 5,4 тыс ₽/мес).</t>
  </si>
  <si>
    <t>3. Экономика: LTV/CAC ≈ 12× при окупаемости CAC за ~1,6 мес; безубыточность на 15-м месяце при 237+ платящих; к месяцу 24 — 1 022 платящих и ARR ≈ 66 млн ₽ (0,16% выручки hh.ru).</t>
  </si>
  <si>
    <t>4. Триал 14 дней (1 вакансия + 10 приглашений, без карты) стоит COMIT ≈ 270 ₽ и даёт работодателю ценность ≈ 9 тыс ₽ — конверсия 25% даёт CAC ≈ 9,1 тыс ₽.</t>
  </si>
  <si>
    <t>5. Себестоимость LLM на работодателя — копейки (DeepSeek $0.2/$0.7 за 1M токенов): валовая маржа ≈ 96%; ключевые затраты — команда и маркетинг.</t>
  </si>
  <si>
    <t>Структура выручки, месяц 24 (данные графика):</t>
  </si>
  <si>
    <t>Канал</t>
  </si>
  <si>
    <t>Выручка, ₽</t>
  </si>
  <si>
    <t>Подписки «Старт»</t>
  </si>
  <si>
    <t>Подписки «Бизнес»</t>
  </si>
  <si>
    <t>Разовые (вакансии+приглашения)</t>
  </si>
  <si>
    <t>Штрафы SLA</t>
  </si>
  <si>
    <t>Допущения модели — все входные параметры</t>
  </si>
  <si>
    <t>Параметр</t>
  </si>
  <si>
    <t>Значение</t>
  </si>
  <si>
    <t>Ед. изм.</t>
  </si>
  <si>
    <t>Источник / комментарий</t>
  </si>
  <si>
    <t>1. Рынок труда (бенчмарки из открытых источников)</t>
  </si>
  <si>
    <t>Медианная ЗП IT-специалиста</t>
  </si>
  <si>
    <t>₽/мес</t>
  </si>
  <si>
    <t>Хабр Карьера, 1П2025 (career.habr.com)</t>
  </si>
  <si>
    <t>ЗП Junior-разработчика</t>
  </si>
  <si>
    <t>Skillbox, авг 2025</t>
  </si>
  <si>
    <t>ЗП Middle-разработчика</t>
  </si>
  <si>
    <t>ЗП Senior-разработчика</t>
  </si>
  <si>
    <t>Комиссия IT-агентств (средняя)</t>
  </si>
  <si>
    <t>% год. дохода</t>
  </si>
  <si>
    <t>IT-Atlas 10–25%, Lucky Hunter 19–23%, скрин: 15–25%</t>
  </si>
  <si>
    <t>Полный cost-per-hire на рынке</t>
  </si>
  <si>
    <t>% годовой ЗП</t>
  </si>
  <si>
    <t>скрин пользователя: 25–30% годовой зарплаты</t>
  </si>
  <si>
    <t>Cost-per-hire площадок (нижняя граница)</t>
  </si>
  <si>
    <t>₽</t>
  </si>
  <si>
    <t>vc.ru: полный CPH &gt; 43 000 ₽ на закрытую вакансию</t>
  </si>
  <si>
    <t>Время найма IT-специалиста (рынок)</t>
  </si>
  <si>
    <t>мес</t>
  </si>
  <si>
    <t>скрин пользователя: 1,5–2 месяца</t>
  </si>
  <si>
    <t>Часы HR на один найм (рынок)</t>
  </si>
  <si>
    <t>ч</t>
  </si>
  <si>
    <t>скрин пользователя: десятки—110+ часов</t>
  </si>
  <si>
    <t>Стоимость часа рекрутера</t>
  </si>
  <si>
    <t>₽/ч</t>
  </si>
  <si>
    <t>рекрутер ~120–150 тыс ₽/мес gross + взносы ~30%</t>
  </si>
  <si>
    <t>Часы HR на найм через COMIT</t>
  </si>
  <si>
    <t>разбор готовой подборки вместо сотен резюме</t>
  </si>
  <si>
    <t>Доступ к базе резюме hh.ru (7 дней, Москва)</t>
  </si>
  <si>
    <t>heaad.ru, 2025</t>
  </si>
  <si>
    <t>Вакансия Хабр Карьера «Стандарт» (Москва, 30 дн)</t>
  </si>
  <si>
    <t>career.habr.com/price</t>
  </si>
  <si>
    <t>Вакансия hh.ru (пакетная, средняя)</t>
  </si>
  <si>
    <t>jcat.ru: 6 200 ₽ за 10 размещений</t>
  </si>
  <si>
    <t>2. Тарифы COMIT (ключевые редактируемые параметры)</t>
  </si>
  <si>
    <t>Вакансия — первая (акция)</t>
  </si>
  <si>
    <t>стартовая ставка из репозитория; аналог промо hh «Вакансия за 199 ₽»</t>
  </si>
  <si>
    <t>Вакансия — повторная</t>
  </si>
  <si>
    <t>ниже пакета hh (~800 ₽) и Хабра (4 026 ₽)</t>
  </si>
  <si>
    <t>Средняя цена вакансии (микс)</t>
  </si>
  <si>
    <t>20% первых / 80% повторных</t>
  </si>
  <si>
    <t>Приглашение кандидату</t>
  </si>
  <si>
    <t>стартовая ставка из репозитория</t>
  </si>
  <si>
    <t>Штраф за просрочку обратной связи</t>
  </si>
  <si>
    <t>SLA-механика продукта (199 ₽)</t>
  </si>
  <si>
    <t>Доля вакансий с просрочкой</t>
  </si>
  <si>
    <t>%</t>
  </si>
  <si>
    <t>консервативная оценка действия SLA</t>
  </si>
  <si>
    <t>Подписка «Старт», месяц</t>
  </si>
  <si>
    <t>10 вакансий + 200 приглашений + ИИ до 1 000 ₽</t>
  </si>
  <si>
    <t>Подписка «Бизнес», месяц</t>
  </si>
  <si>
    <t>вакансии без лимита + 1 000 приглашений + ИИ до 5 000 ₽</t>
  </si>
  <si>
    <t>Доля «Старт» среди платящих</t>
  </si>
  <si>
    <t>целевой микс базы</t>
  </si>
  <si>
    <t>Доля «Бизнес» среди платящих</t>
  </si>
  <si>
    <t>Доля разовых (без подписки)</t>
  </si>
  <si>
    <t>остаток базы</t>
  </si>
  <si>
    <t>3. Воронка найма через COMIT</t>
  </si>
  <si>
    <t>Приглашений на один закрытый найм</t>
  </si>
  <si>
    <t>шт</t>
  </si>
  <si>
    <t>обратная механика: точечные приглашения с ЗП</t>
  </si>
  <si>
    <t>Вакансий на активного разового, мес</t>
  </si>
  <si>
    <t>шт/мес</t>
  </si>
  <si>
    <t>средняя активность</t>
  </si>
  <si>
    <t>Приглашений на активного разового, мес</t>
  </si>
  <si>
    <t>Вакансий на подписку «Старт», мес</t>
  </si>
  <si>
    <t>Вакансий на подписку «Бизнес», мес</t>
  </si>
  <si>
    <t>Приглашений на «Старт», мес</t>
  </si>
  <si>
    <t>Приглашений на «Бизнес», мес</t>
  </si>
  <si>
    <t>Активность разовых в месяц</t>
  </si>
  <si>
    <t>доля разовых, платящих в конкретном месяце</t>
  </si>
  <si>
    <t>4. LLM и инфраструктура</t>
  </si>
  <si>
    <t>DeepSeek API: вход</t>
  </si>
  <si>
    <t>$/1M токенов</t>
  </si>
  <si>
    <t>api-docs.deepseek.com; значения по умолчанию из репозитория</t>
  </si>
  <si>
    <t>DeepSeek API: выход</t>
  </si>
  <si>
    <t>api-docs.deepseek.com</t>
  </si>
  <si>
    <t>Курс USD (фиксация)</t>
  </si>
  <si>
    <t>₽/$</t>
  </si>
  <si>
    <t>как в учётной политике репозитория</t>
  </si>
  <si>
    <t>Токены на вакансию: вход / выход</t>
  </si>
  <si>
    <t>токенов</t>
  </si>
  <si>
    <t>черновик вакансии агентом</t>
  </si>
  <si>
    <t>Токены на вакансию: выход</t>
  </si>
  <si>
    <t>Токены на приглашение: вход / выход</t>
  </si>
  <si>
    <t>карточка кандидата и пояснение</t>
  </si>
  <si>
    <t>Токены на приглашение: выход</t>
  </si>
  <si>
    <t>Токены на чат агента: вход / выход</t>
  </si>
  <si>
    <t>Токены на чат агента: выход</t>
  </si>
  <si>
    <t>Себестоимость LLM: вакансия</t>
  </si>
  <si>
    <t>расчёт от токенов и тарифа</t>
  </si>
  <si>
    <t>Себестоимость LLM: приглашение</t>
  </si>
  <si>
    <t>Себестоимость LLM: чат</t>
  </si>
  <si>
    <t>Чатов агента на работодателя, мес</t>
  </si>
  <si>
    <t>Запас на повторы LLM-вызовов</t>
  </si>
  <si>
    <t>×</t>
  </si>
  <si>
    <t>рирайты, ретраи, валидация</t>
  </si>
  <si>
    <t>Инфраструктура: фикс</t>
  </si>
  <si>
    <t>серверы, домены, почта, мониторинг</t>
  </si>
  <si>
    <t>Инфраструктура: на работодателя</t>
  </si>
  <si>
    <t>масштабирование БД/поиска</t>
  </si>
  <si>
    <t>5. Рост и отток (базовый сценарий)</t>
  </si>
  <si>
    <t>Новых триалов в месяц 1</t>
  </si>
  <si>
    <t>хакатонная известность + прямой аутрич</t>
  </si>
  <si>
    <t>Рост триалов в месяц</t>
  </si>
  <si>
    <t>%/мес</t>
  </si>
  <si>
    <t>контент + партнёрства (ФСП, вузы)</t>
  </si>
  <si>
    <t>Потолок триалов в месяц</t>
  </si>
  <si>
    <t>ёмкость онбординга и поддержки</t>
  </si>
  <si>
    <t>Конверсия триал → платящий</t>
  </si>
  <si>
    <t>B2B SaaS freemium-бенчмарк 15–40%</t>
  </si>
  <si>
    <t>Прямые продажи, новых в месяц</t>
  </si>
  <si>
    <t>внутренние продажи без триала</t>
  </si>
  <si>
    <t>Отток платящих в месяц</t>
  </si>
  <si>
    <t>средняя жизнь клиента 20 мес</t>
  </si>
  <si>
    <t>6. Маркетинг и платёжные издержки</t>
  </si>
  <si>
    <t>Стоимость привлечения триала</t>
  </si>
  <si>
    <t>B2B-лид в РФ (таргет + контент)</t>
  </si>
  <si>
    <t>Стоимость прямой продажи</t>
  </si>
  <si>
    <t>время сейлза на одну закрытую сделку</t>
  </si>
  <si>
    <t>Эквайринг</t>
  </si>
  <si>
    <t>% выручки</t>
  </si>
  <si>
    <t>ЮKassa / CloudPayments ~2,8%</t>
  </si>
  <si>
    <t>Поддержка на один триал</t>
  </si>
  <si>
    <t>онбординг-созвон и ответы</t>
  </si>
  <si>
    <t>7. Команда и постоянные расходы</t>
  </si>
  <si>
    <t>ФОТ + взносы, мес 1–6</t>
  </si>
  <si>
    <t>3 чел. частичная занятость</t>
  </si>
  <si>
    <t>ФОТ + взносы, мес 7–24</t>
  </si>
  <si>
    <t>5 чел. (2 dev, 1 ML, 1 product, 1 sales)</t>
  </si>
  <si>
    <t>Прочие постоянные расходы</t>
  </si>
  <si>
    <t>юр., бухгалтерия, софт</t>
  </si>
  <si>
    <t>Синий шрифт — входные параметры (можно менять); жёлтая заливка — ключевые драйверы; чёрный — расчёт. Все листы модели ссылаются на этот лист.</t>
  </si>
  <si>
    <t>Рынок: бенчмарки и конкуренты (открытые источники, окт 2026)</t>
  </si>
  <si>
    <t>Показатель</t>
  </si>
  <si>
    <t>Ед.</t>
  </si>
  <si>
    <t>Источник</t>
  </si>
  <si>
    <t>Комментарий</t>
  </si>
  <si>
    <t>Зарплаты и рынок труда</t>
  </si>
  <si>
    <t>Медианная ЗП IT-специалиста, РФ</t>
  </si>
  <si>
    <t>182 700</t>
  </si>
  <si>
    <t>Хабр Карьера, 1П2025</t>
  </si>
  <si>
    <t>фактическая медиана, +2% г/г</t>
  </si>
  <si>
    <t>Средняя ЗП в IT, РФ (3 кв 2025)</t>
  </si>
  <si>
    <t>196 500</t>
  </si>
  <si>
    <t>TAdviser / Росстат</t>
  </si>
  <si>
    <t>начисленная</t>
  </si>
  <si>
    <t>ЗП Junior / Middle / Senior</t>
  </si>
  <si>
    <t>77 / 167 / 280 тыс</t>
  </si>
  <si>
    <t>по грейдам</t>
  </si>
  <si>
    <t>Активные резюме на hh.ru (июнь 2025)</t>
  </si>
  <si>
    <t>3,24 млн</t>
  </si>
  <si>
    <t>hh.ru / stats.hh.ru</t>
  </si>
  <si>
    <t>+25% г/г — конкуренция кандидатов растёт</t>
  </si>
  <si>
    <t>IT-вакансии за 1П2025</t>
  </si>
  <si>
    <t>291 тыс</t>
  </si>
  <si>
    <t>proglib.io</t>
  </si>
  <si>
    <t>падение с 352,5 тыс (-17% г/г)</t>
  </si>
  <si>
    <t>hh-индекс IT (конкуренция)</t>
  </si>
  <si>
    <t>22–26</t>
  </si>
  <si>
    <t>резюме/вакансию</t>
  </si>
  <si>
    <t>stats.hh.ru (апр–авг 2026)</t>
  </si>
  <si>
    <t>порог высокой конкуренции — 12</t>
  </si>
  <si>
    <t>Стоимость найма (затраты работодателя)</t>
  </si>
  <si>
    <t>Полный cost-per-hire (все издержки)</t>
  </si>
  <si>
    <t>25–30% годовой ЗП</t>
  </si>
  <si>
    <t>—</t>
  </si>
  <si>
    <t>скрин пользователя (междунар. бенчмарки)</t>
  </si>
  <si>
    <t>≈ 548–658 тыс ₽ на IT-найм при медианной ЗП</t>
  </si>
  <si>
    <t>Cost-per-hire через площадки</t>
  </si>
  <si>
    <t>&gt; 43 000</t>
  </si>
  <si>
    <t>vc.ru</t>
  </si>
  <si>
    <t>нижняя граница прямых затрат</t>
  </si>
  <si>
    <t>Комиссия IT-рекрутингового агентства</t>
  </si>
  <si>
    <t>10–25% годового дохода</t>
  </si>
  <si>
    <t>IT-Atlas; Lucky Hunter 19–23%; скрин 15–25%</t>
  </si>
  <si>
    <t>≈ 330–550 тыс ₽ за найм</t>
  </si>
  <si>
    <t>Время закрытия IT-вакансии</t>
  </si>
  <si>
    <t>1,5–2 мес</t>
  </si>
  <si>
    <t>скрин пользователя; Т-Банк/Инфосистема Джет</t>
  </si>
  <si>
    <t>до 2 000 откликов на одну IT-вакансию</t>
  </si>
  <si>
    <t>Часы HR на один найм</t>
  </si>
  <si>
    <t>40–110+</t>
  </si>
  <si>
    <t>скрин пользователя</t>
  </si>
  <si>
    <t>просмотр, скрининг, интервью</t>
  </si>
  <si>
    <t>Тарифы площадок (конкуренты)</t>
  </si>
  <si>
    <t>hh.ru: промо «Вакансия за 199 ₽»</t>
  </si>
  <si>
    <t>199</t>
  </si>
  <si>
    <t>hh.ru (акция для новых клиентов)</t>
  </si>
  <si>
    <t>Стандарт Плюс, 1 шт, вкл. НДС</t>
  </si>
  <si>
    <t>hh.ru: пакет размещений</t>
  </si>
  <si>
    <t>≈ 620–830</t>
  </si>
  <si>
    <t>₽/вакансия</t>
  </si>
  <si>
    <t>jcat.ru: 6 200 ₽ за 10 вакансий</t>
  </si>
  <si>
    <t>цены динамические, зависят от региона</t>
  </si>
  <si>
    <t>hh.ru: доступ к базе резюме (7 дней)</t>
  </si>
  <si>
    <t>22 080</t>
  </si>
  <si>
    <t>heaad.ru (Москва)</t>
  </si>
  <si>
    <t>по России — 27 670 ₽; до 8 000 просмотров/сут</t>
  </si>
  <si>
    <t>Хабр Карьера: вакансия «Стандарт», Москва</t>
  </si>
  <si>
    <t>4 026</t>
  </si>
  <si>
    <t>₽/30 дн</t>
  </si>
  <si>
    <t>«Стандарт плюс» — 7 808 ₽</t>
  </si>
  <si>
    <t>Хабр Карьера: модель 2025 года</t>
  </si>
  <si>
    <t>0 + 300 ₽/отклик</t>
  </si>
  <si>
    <t>habr.com/news, июнь 2025</t>
  </si>
  <si>
    <t>бесплатное размещение для малого/среднего бизнеса</t>
  </si>
  <si>
    <t>Хабр Карьера: поднятие/выделение вакансии</t>
  </si>
  <si>
    <t>1 220</t>
  </si>
  <si>
    <t>разовые продвижения</t>
  </si>
  <si>
    <t>Рекрутер-фрилансер за подбор</t>
  </si>
  <si>
    <t>10 000–20 000+</t>
  </si>
  <si>
    <t>HRTime</t>
  </si>
  <si>
    <t>для сложных IT-позиций существенно дороже</t>
  </si>
  <si>
    <t>Рынок в целом</t>
  </si>
  <si>
    <t>Выручка hh.ru за 2025</t>
  </si>
  <si>
    <t>41,2 млрд</t>
  </si>
  <si>
    <t>TAdviser / Ведомости</t>
  </si>
  <si>
    <t>+4% г/г; чистая прибыль 18,18 млрд ₽</t>
  </si>
  <si>
    <t>Рынок рекрутмента РФ (оценка TAM)</t>
  </si>
  <si>
    <t>&gt; 500 млрд</t>
  </si>
  <si>
    <t>₽/год</t>
  </si>
  <si>
    <t>инвест. презентация HeadHunter</t>
  </si>
  <si>
    <t>вкл. HRtech</t>
  </si>
  <si>
    <t>LLM-затраты (для себестоимости COMIT)</t>
  </si>
  <si>
    <t>DeepSeek API: вход / выход</t>
  </si>
  <si>
    <t>$0.20 / $0.70</t>
  </si>
  <si>
    <t>api-docs.deepseek.com + репозиторий</t>
  </si>
  <si>
    <t>значения из .env агента проекта</t>
  </si>
  <si>
    <t>Тарифы COMIT — сетка и рыночные аналоги</t>
  </si>
  <si>
    <t>Тариф / услуга</t>
  </si>
  <si>
    <t>Цена</t>
  </si>
  <si>
    <t>Что входит</t>
  </si>
  <si>
    <t>Лимиты</t>
  </si>
  <si>
    <t>Рыночный аналог (цена)</t>
  </si>
  <si>
    <t>Триал «Первый найм»</t>
  </si>
  <si>
    <t>1 вакансия, 10 приглашений, ИИ-черновик вакансии, категории + подобранные ленты, грейд-тесты кандидатов уже включены</t>
  </si>
  <si>
    <t>14 дней, 1 триал на ИНН, без привязки карты</t>
  </si>
  <si>
    <t>промо hh «Вакансия за 199 ₽»; freemium Хабра (0 ₽ + 300 ₽/отклик)</t>
  </si>
  <si>
    <t>Разовый (pay-as-you-go)</t>
  </si>
  <si>
    <t>первая вакансия по акции; далее повторные</t>
  </si>
  <si>
    <t>без подписки, оплата по факту</t>
  </si>
  <si>
    <t>hh ~620–830 ₽/вакансия (пакет); повторная =VAC_NEXT ₽</t>
  </si>
  <si>
    <t>Подписка «Старт»</t>
  </si>
  <si>
    <t>10 вакансий, 200 приглашений, ИИ-ассистент до 1 000 ₽/мес, статистика</t>
  </si>
  <si>
    <t>на месяц, автопродление</t>
  </si>
  <si>
    <t>доступ к базе hh 22 080 ₽ за 7 дней</t>
  </si>
  <si>
    <t>Подписка «Бизнес»</t>
  </si>
  <si>
    <t>вакансии без лимита, 1 000 приглашений, ИИ до 5 000 ₽/мес, приоритетная поддержка, API</t>
  </si>
  <si>
    <t>агентство: 20% годового дохода (≈ 438 тыс ₽/найм)</t>
  </si>
  <si>
    <t>Приглашение сверх лимита</t>
  </si>
  <si>
    <t>точечное приглашение с ЗП</t>
  </si>
  <si>
    <t>просмотр контакта из базы hh (в пакете доступа)</t>
  </si>
  <si>
    <t>соц-механика SLA: обе стороны обязаны дать ОС</t>
  </si>
  <si>
    <t>199 ₽ с виновной стороны</t>
  </si>
  <si>
    <t>уникальная механика COMIT — нет аналогов</t>
  </si>
  <si>
    <t>Цены — формулы со листа «Допущения» (меняются там). Кандидаты платят 0 ₽: монетизация только со стороны работодателя.</t>
  </si>
  <si>
    <t>Затраты работодателя на один найм: каналы сравнения</t>
  </si>
  <si>
    <t>Канал найма</t>
  </si>
  <si>
    <t>Прямые затраты, ₽</t>
  </si>
  <si>
    <t>Часы HR</t>
  </si>
  <si>
    <t>Стоимость HR-времени, ₽</t>
  </si>
  <si>
    <t>ВСЕГО, ₽</t>
  </si>
  <si>
    <t>Время найма, мес / экономия, %</t>
  </si>
  <si>
    <t>Канал (данные графика)</t>
  </si>
  <si>
    <t>Всего, ₽</t>
  </si>
  <si>
    <t>COMIT — разовый тариф</t>
  </si>
  <si>
    <t>акция 199 ₽ + 18 приглашений × 49 ₽; разбор готовой подборки</t>
  </si>
  <si>
    <t>COMIT разовый</t>
  </si>
  <si>
    <t>COMIT — подписка «Старт» (на найм)</t>
  </si>
  <si>
    <t>2 найма/мес у подписчика (лимит 200 приглашений ≈ 11 наймов)</t>
  </si>
  <si>
    <t>COMIT «Старт»</t>
  </si>
  <si>
    <t>hh.ru самостоятельно</t>
  </si>
  <si>
    <t>2 вакансии + доступ к базе 7 дней; сотни откликов на вакансию</t>
  </si>
  <si>
    <t>hh.ru самост.</t>
  </si>
  <si>
    <t>Хабр Карьера</t>
  </si>
  <si>
    <t>вакансия «Стандарт» + выделение; 70 ч HR</t>
  </si>
  <si>
    <t>IT-агентство</t>
  </si>
  <si>
    <t>гонорар 20% годового дохода + курирование</t>
  </si>
  <si>
    <t>Агентство</t>
  </si>
  <si>
    <t>Полная стоимость найма (рынок)</t>
  </si>
  <si>
    <t>25–30% годовой ЗП: все издержки вкл. простой и онбординг</t>
  </si>
  <si>
    <t>Полная ст-ть найма</t>
  </si>
  <si>
    <t>In-house рекрутер</t>
  </si>
  <si>
    <t>130 тыс ₽/мес × 1,3 (взносы) × 1,75 мес</t>
  </si>
  <si>
    <t>Экономия: COMIT (разовый) против IT-агентства</t>
  </si>
  <si>
    <t>Экономия: COMIT (разовый) против полной рыночной стоимости найма</t>
  </si>
  <si>
    <t>Часы HR: COMIT — 3 ч (разбор готовой отранжированной подборки), рынок — 80 ч (скрин, сотни откликов). Стоимость часа — см. «Допущения».</t>
  </si>
  <si>
    <t>Триал для работодателя — дизайн и экономика</t>
  </si>
  <si>
    <t>Условия триала «Первый найм»</t>
  </si>
  <si>
    <t>Длительность</t>
  </si>
  <si>
    <t>14 дней с момента активации</t>
  </si>
  <si>
    <t>1 вакансия с ИИ-черновиком, 10 приглашений кандидатам с ЗП, полный доступ к категориям и подобранным лентам, грейд-тесты кандидатов уже пройдены</t>
  </si>
  <si>
    <t>Оплата</t>
  </si>
  <si>
    <t>0 ₽, без привязки карты — демо ценности до платежа</t>
  </si>
  <si>
    <t>Ограничители</t>
  </si>
  <si>
    <t>1 триал на ИНН (верификация юрлица), контакты кандидатов скрыты до принятия приглашения — как в продукте</t>
  </si>
  <si>
    <t>Окончание</t>
  </si>
  <si>
    <t>автоматический даунгрейд до просмотра; апселл: Разовый → «Старт» → «Бизнес»</t>
  </si>
  <si>
    <t>Почему именно так</t>
  </si>
  <si>
    <t>работодатель тратит 25–30% годовой ЗП на один найм (скрин): бесплатная проверка экономии сотен тысяч ₽ — сильный крючок</t>
  </si>
  <si>
    <t>Экономика триала</t>
  </si>
  <si>
    <t>Как считаем</t>
  </si>
  <si>
    <t>Себестоимость триала для COMIT, ₽</t>
  </si>
  <si>
    <t>LLM (1 вакансия + 10 приглашений + 2 чата, с запасом ×3) + поддержка + инфраструктура</t>
  </si>
  <si>
    <t>Ценность для работодателя (консервативно), ₽</t>
  </si>
  <si>
    <t>размещение вакансии по цене Хабра + скрининг 10 кандидатов (0,5 ч × ставка HR)</t>
  </si>
  <si>
    <t>Эквивалент: доступ к базе hh.ru на 7 дней, ₽</t>
  </si>
  <si>
    <t>что пришлось бы купить для тех же 10 точечных контактов</t>
  </si>
  <si>
    <t>CAC через триал, ₽</t>
  </si>
  <si>
    <t>(маркетинг на триал + себестоимость) / конверсия</t>
  </si>
  <si>
    <t>LTV платящего работодателя, ₽</t>
  </si>
  <si>
    <t>маржинальная прибыль × средняя жизнь</t>
  </si>
  <si>
    <t>LTV / CAC через триал</t>
  </si>
  <si>
    <t>здоровая экономика: &gt; 3×</t>
  </si>
  <si>
    <t>Затраты COMIT на 1 перешедшего, ₽</t>
  </si>
  <si>
    <t>совпадает с CAC через триал</t>
  </si>
  <si>
    <t>Выручка COMIT — помесячная модель, 24 месяца (базовый сценарий)</t>
  </si>
  <si>
    <t>Метрика</t>
  </si>
  <si>
    <t>Итого / финал</t>
  </si>
  <si>
    <t>Новые триалы</t>
  </si>
  <si>
    <t>Новые платящие</t>
  </si>
  <si>
    <t>Отток</t>
  </si>
  <si>
    <t>Платящие (конец месяца)</t>
  </si>
  <si>
    <t xml:space="preserve">  в т.ч. подписка «Старт»</t>
  </si>
  <si>
    <t xml:space="preserve">  в т.ч. подписка «Бизнес»</t>
  </si>
  <si>
    <t xml:space="preserve">  в т.ч. разовые</t>
  </si>
  <si>
    <t>Вакансий за месяц</t>
  </si>
  <si>
    <t>Приглашений за месяц</t>
  </si>
  <si>
    <t>Выручка: подписки «Старт», ₽</t>
  </si>
  <si>
    <t>Выручка: подписки «Бизнес», ₽</t>
  </si>
  <si>
    <t>Выручка: разовые, ₽</t>
  </si>
  <si>
    <t>Выручка: штрафы SLA, ₽</t>
  </si>
  <si>
    <t>ИТОГО выручка, ₽</t>
  </si>
  <si>
    <t>Накопленная выручка, ₽</t>
  </si>
  <si>
    <t>Данные графика (значения из модели):</t>
  </si>
  <si>
    <t>Месяц</t>
  </si>
  <si>
    <t>EBITDA, ₽</t>
  </si>
  <si>
    <t>Затраты COMIT — помесячная модель, 24 месяца</t>
  </si>
  <si>
    <t>Статья затрат</t>
  </si>
  <si>
    <t>Итого</t>
  </si>
  <si>
    <t>Вакансий (из «Выручка»)</t>
  </si>
  <si>
    <t>Приглашений (из «Выручка»)</t>
  </si>
  <si>
    <t>Чаты агентов</t>
  </si>
  <si>
    <t>LLM-затраты, ₽</t>
  </si>
  <si>
    <t>Инфраструктура, ₽</t>
  </si>
  <si>
    <t>Маркетинг, ₽</t>
  </si>
  <si>
    <t>Эквайринг, ₽</t>
  </si>
  <si>
    <t>ФОТ + взносы, ₽</t>
  </si>
  <si>
    <t>Прочие постоянные, ₽</t>
  </si>
  <si>
    <t>ИТОГО затрат, ₽</t>
  </si>
  <si>
    <t>Накопленный денежный поток, ₽</t>
  </si>
  <si>
    <t>Зелёный шрифт — ссылки на лист «Выручка». EBITDA здесь — до налогов и амортизации (стартап, УСН отложен).</t>
  </si>
  <si>
    <t>Юнит-экономика платящего работодателя</t>
  </si>
  <si>
    <t>ARPU (стабилизированный микс), ₽/мес</t>
  </si>
  <si>
    <t>доли × средняя выручка тарифа на работодателя</t>
  </si>
  <si>
    <t>Вакансий на платящего, мес</t>
  </si>
  <si>
    <t>для LLM-затрат</t>
  </si>
  <si>
    <t>Приглашений на платящего, мес</t>
  </si>
  <si>
    <t>LLM-затраты на работодателя, ₽/мес</t>
  </si>
  <si>
    <t>DeepSeek по тарифам из «Допущений»</t>
  </si>
  <si>
    <t>Переменные затраты на работодателя, ₽/мес</t>
  </si>
  <si>
    <t>инфраструктура + LLM + эквайринг</t>
  </si>
  <si>
    <t>Маржинальная прибыль на работодателя, ₽/мес</t>
  </si>
  <si>
    <t>ARPU − переменные</t>
  </si>
  <si>
    <t>Валовая маржа, %</t>
  </si>
  <si>
    <t>маржинальная прибыль / ARPU</t>
  </si>
  <si>
    <t>Отток в месяц</t>
  </si>
  <si>
    <t>допущение</t>
  </si>
  <si>
    <t>Средняя жизнь клиента, мес</t>
  </si>
  <si>
    <t>1 / отток</t>
  </si>
  <si>
    <t>LTV, ₽</t>
  </si>
  <si>
    <t>маржинальная прибыль × жизнь</t>
  </si>
  <si>
    <t>CAC (смешанный, мес 7–12), ₽</t>
  </si>
  <si>
    <t>средний маркетинг / средние новые платящие</t>
  </si>
  <si>
    <t>Окупаемость CAC, мес</t>
  </si>
  <si>
    <t>CAC / маржинальная прибыль</t>
  </si>
  <si>
    <t>ARR на одного платящего, ₽/год</t>
  </si>
  <si>
    <t>ARPU × 12</t>
  </si>
  <si>
    <t>Точка безубыточности</t>
  </si>
  <si>
    <t>Постоянные затраты (мес 7–24), ₽/мес</t>
  </si>
  <si>
    <t>ФОТ 5 чел. + инфраструктура-фикс + прочие (маркетинг — переменный, в CAC)</t>
  </si>
  <si>
    <t>из юнит-экономики</t>
  </si>
  <si>
    <t>Точка безубыточности, платящих работодателей</t>
  </si>
  <si>
    <t>постоянные / маржинальная прибыль</t>
  </si>
  <si>
    <t>первый месяц с EBITDA &gt; 0 по помесячной модели</t>
  </si>
  <si>
    <t>Платящих на конец мес 24 (база)</t>
  </si>
  <si>
    <t>из модели выручки</t>
  </si>
  <si>
    <t>Максимальная потребность в деньгах (кумулятивный минимум), ₽</t>
  </si>
  <si>
    <t>глубина кассового разрыва до выхода в плюс</t>
  </si>
  <si>
    <t>Затраты, ₽</t>
  </si>
  <si>
    <t>Сценарии и чувствительность</t>
  </si>
  <si>
    <t>Параметры сценариев (меняются вручную)</t>
  </si>
  <si>
    <t>Драйвер</t>
  </si>
  <si>
    <t>Пессимистичный</t>
  </si>
  <si>
    <t>Базовый</t>
  </si>
  <si>
    <t>Оптимистичный</t>
  </si>
  <si>
    <t>Стоимость привлечения триала, ₽</t>
  </si>
  <si>
    <t>Результаты сценариев (мес 24)</t>
  </si>
  <si>
    <t>Платящих работодателей на мес 24</t>
  </si>
  <si>
    <t>Выручка в месяц 24, ₽</t>
  </si>
  <si>
    <t>ARR (годовая run-rate), ₽</t>
  </si>
  <si>
    <t>CAC при сценарии, ₽</t>
  </si>
  <si>
    <t>Чувствительность: ARR мес 24 (млрд ₽) — рост триалов × конверсия</t>
  </si>
  <si>
    <t>Рост \ Конверсия</t>
  </si>
  <si>
    <t>Примечание: формулы сценариев не учитывают потолок 500 триалов/мес — оптимистичный случай ограничен им (см. лист «Выручка», строка «Новые триалы»).</t>
  </si>
  <si>
    <t>Источники данных (проверены 11.10.2026)</t>
  </si>
  <si>
    <t>Данные</t>
  </si>
  <si>
    <t>URL</t>
  </si>
  <si>
    <t>Медиана ЗП IT 182 700 ₽/мес (1П2025); Backend 251 тыс (2026)</t>
  </si>
  <si>
    <t>https://career.habr.com</t>
  </si>
  <si>
    <t>ЗП по грейдам: джун 77 / мидл 167 / синьор 280 тыс ₽</t>
  </si>
  <si>
    <t>Skillbox (авг 2025)</t>
  </si>
  <si>
    <t>https://blog.skillbox.ru</t>
  </si>
  <si>
    <t>Средняя ЗП IT 196,5 тыс ₽ (3 кв 2025)</t>
  </si>
  <si>
    <t>TAdviser</t>
  </si>
  <si>
    <t>https://www.tadviser.ru</t>
  </si>
  <si>
    <t>Комиссия агентств 10–25% годового дохода</t>
  </si>
  <si>
    <t>IT-Atlas (май 2025)</t>
  </si>
  <si>
    <t>https://it-atlas.ru</t>
  </si>
  <si>
    <t>IT-агентства 19–23%</t>
  </si>
  <si>
    <t>Lucky Hunter</t>
  </si>
  <si>
    <t>https://luckyhunter.io</t>
  </si>
  <si>
    <t>Полный cost-per-hire &gt; 43 000 ₽ на закрытую вакансию</t>
  </si>
  <si>
    <t>https://vc.ru</t>
  </si>
  <si>
    <t>Доступ к базе hh.ru: 22 080 ₽/7 дней (Москва), 27 670 ₽ (РФ)</t>
  </si>
  <si>
    <t>heaad.ru</t>
  </si>
  <si>
    <t>https://heaad.ru</t>
  </si>
  <si>
    <t>Пакет hh: 6 200 ₽ за 10 вакансий; промо «Вакансия за 199 ₽»</t>
  </si>
  <si>
    <t>jcat.ru; hh.ru</t>
  </si>
  <si>
    <t>https://www.jcat.ru</t>
  </si>
  <si>
    <t>Хабр Карьера: Стандарт 4 026 ₽, «Стандарт плюс» 7 808 ₽, продвижение 1 220 ₽; модель 0 ₽ + 300 ₽/отклик (2025)</t>
  </si>
  <si>
    <t>career.habr.com/price; habr.com</t>
  </si>
  <si>
    <t>https://career.habr.com/price</t>
  </si>
  <si>
    <t>Выручка hh.ru 41,2 млрд ₽ (2025), прибыль 18,18 млрд ₽; рынок РФ &gt; 500 млрд ₽ (TAM)</t>
  </si>
  <si>
    <t>TAdviser, Ведомости, investor.hh.ru</t>
  </si>
  <si>
    <t>https://investor.hh.ru</t>
  </si>
  <si>
    <t>IT-вакансии 1П2025: 352,5 → 291 тыс (−17%)</t>
  </si>
  <si>
    <t>https://proglib.io</t>
  </si>
  <si>
    <t>До 2 000 откликов на IT-вакансию; рост сроков закрытия</t>
  </si>
  <si>
    <t>Т-Банк (secrets.tbank.ru), Инфосистема Джет</t>
  </si>
  <si>
    <t>https://secrets.tbank.ru</t>
  </si>
  <si>
    <t>Активных резюме hh 3,24 млн (июнь 2025), hh-индекс IT 22–26</t>
  </si>
  <si>
    <t>https://stats.hh.ru</t>
  </si>
  <si>
    <t>DeepSeek API: $0.2–0.28/1M вх, $0.42–0.7/1M вых</t>
  </si>
  <si>
    <t>https://api-docs.deepseek.com/quick_start/pricing</t>
  </si>
  <si>
    <t>Затраты работодателя 25–30% годовой ЗП на найм; CPH от $10 000; HR 110+ ч; найм 1,5–2 мес; агентства 15–25%</t>
  </si>
  <si>
    <t>Ставки 199 ₽ / 49 ₽ / 199 ₽; курс 100 ₽/$; тарифы DeepSeek по умолчанию</t>
  </si>
  <si>
    <t>репозиторий comit_2 (context/80-open-questions.md, .env.example)</t>
  </si>
  <si>
    <t>https://github.com/mgg789/comit_2</t>
  </si>
  <si>
    <t>Проверка модели (кросс-чеки)</t>
  </si>
  <si>
    <t>Проверка</t>
  </si>
  <si>
    <t>Ожидание</t>
  </si>
  <si>
    <t>Факт</t>
  </si>
  <si>
    <t>Статус</t>
  </si>
  <si>
    <t>Итого выручка мес 24 = сумма компонент</t>
  </si>
  <si>
    <t>Платящие мес 24: база + новые − отток</t>
  </si>
  <si>
    <t>Итого затрат мес 24 = сумма статей</t>
  </si>
  <si>
    <t>EBITDA мес 24 = выручка − затраты</t>
  </si>
  <si>
    <t>ARPU × платящие мес 24 ≈ выручка мес 24 (±15%)</t>
  </si>
  <si>
    <t>Экономия против агентства = разница каналов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</si>
</sst>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#,##0&quot; ₽&quot;;\(#,##0&quot; ₽&quot;\);&quot;–&quot;"/>
    <numFmt numFmtId="165" formatCode="0.0%;\(0.0%\);&quot;–&quot;"/>
    <numFmt numFmtId="166" formatCode="#,##0.0;\(#,##0.0\);&quot;–&quot;"/>
    <numFmt numFmtId="167" formatCode="#,##0;\(#,##0\);&quot;–&quot;"/>
    <numFmt numFmtId="168" formatCode="\$0.000"/>
    <numFmt numFmtId="169" formatCode="#,##0.00&quot; ₽&quot;;\(#,##0.00&quot; ₽&quot;\);&quot;–&quot;"/>
    <numFmt numFmtId="170" formatCode="0.0&quot;x&quot;"/>
    <numFmt numFmtId="171" formatCode="&quot;Мес &quot;0"/>
    <numFmt numFmtId="172" formatCode="0.00&quot; млрд ₽&quot;"/>
  </numFmts>
  <fonts count="12">
    <font>
      <sz val="11"/>
      <color theme="1"/>
      <name val="Calibri"/>
      <family val="2"/>
      <scheme val="minor"/>
    </font>
    <font>
      <sz val="16"/>
      <color rgb="FF1B2A4A"/>
      <name val="Noto Sans SC"/>
    </font>
    <font>
      <sz val="11"/>
      <color rgb="FFFFFFFF"/>
      <name val="Noto Sans SC"/>
    </font>
    <font>
      <sz val="12"/>
      <color rgb="FF1B2A4A"/>
      <name val="Noto Sans SC"/>
    </font>
    <font>
      <sz val="11"/>
      <color rgb="FF37352F"/>
      <name val="Noto Sans SC"/>
    </font>
    <font>
      <sz val="11"/>
      <color rgb="FF0000FF"/>
      <name val="Noto Sans SC"/>
    </font>
    <font>
      <sz val="9"/>
      <color rgb="FF8C8A84"/>
      <name val="Noto Sans SC"/>
    </font>
    <font>
      <sz val="11"/>
      <color rgb="FF000000"/>
      <name val="Noto Sans SC"/>
    </font>
    <font>
      <sz val="11"/>
      <color rgb="FF1B2A4A"/>
      <name val="Noto Sans SC"/>
    </font>
    <font>
      <sz val="11"/>
      <color rgb="FF008000"/>
      <name val="Noto Sans SC"/>
    </font>
    <font>
      <b/>
      <sz val="11"/>
      <color rgb="FF000000"/>
      <name val="Noto Sans SC"/>
    </font>
    <font>
      <sz val="14"/>
      <color rgb="FF1B2A4A"/>
      <name val="Noto Sans SC"/>
    </font>
  </fonts>
  <fills count="7">
    <fill>
      <patternFill patternType="none"/>
    </fill>
    <fill>
      <patternFill patternType="gray125"/>
    </fill>
    <fill>
      <patternFill patternType="solid">
        <fgColor rgb="FF1B2A4A"/>
      </patternFill>
    </fill>
    <fill>
      <patternFill patternType="solid">
        <fgColor rgb="FFD6E4F0"/>
      </patternFill>
    </fill>
    <fill>
      <patternFill patternType="solid">
        <fgColor rgb="FFFFFFFF"/>
      </patternFill>
    </fill>
    <fill>
      <patternFill patternType="solid">
        <fgColor rgb="FFF7F7F5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/>
      <right/>
      <top/>
      <bottom style="thin">
        <color rgb="FFE9E9E8"/>
      </bottom>
      <diagonal/>
    </border>
  </borders>
  <cellStyleXfs count="1">
    <xf numFmtId="0" fontId="0" fillId="0" borderId="0"/>
  </cellStyleXfs>
  <cellXfs count="70">
    <xf numFmtId="0" fontId="0" fillId="0" borderId="0" xfId="0"/>
    <xf numFmtId="164" fontId="11" fillId="0" borderId="0" xfId="0" applyNumberFormat="1" applyFont="1" applyAlignment="1">
      <alignment horizontal="left" vertical="center"/>
    </xf>
    <xf numFmtId="165" fontId="11" fillId="0" borderId="0" xfId="0" applyNumberFormat="1" applyFont="1" applyAlignment="1">
      <alignment horizontal="left" vertical="center"/>
    </xf>
    <xf numFmtId="167" fontId="11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left" vertical="top" wrapText="1"/>
    </xf>
    <xf numFmtId="170" fontId="11" fillId="0" borderId="0" xfId="0" applyNumberFormat="1" applyFont="1" applyAlignment="1">
      <alignment horizontal="left" vertical="center"/>
    </xf>
    <xf numFmtId="0" fontId="4" fillId="4" borderId="0" xfId="0" applyFont="1" applyFill="1" applyAlignment="1">
      <alignment horizontal="left" vertical="center" wrapText="1"/>
    </xf>
    <xf numFmtId="0" fontId="0" fillId="4" borderId="0" xfId="0" applyFill="1"/>
    <xf numFmtId="0" fontId="4" fillId="5" borderId="0" xfId="0" applyFont="1" applyFill="1" applyAlignment="1">
      <alignment horizontal="left" vertical="center" wrapText="1"/>
    </xf>
    <xf numFmtId="0" fontId="0" fillId="5" borderId="0" xfId="0" applyFill="1"/>
    <xf numFmtId="0" fontId="6" fillId="0" borderId="0" xfId="0" applyFont="1"/>
    <xf numFmtId="167" fontId="6" fillId="0" borderId="0" xfId="0" applyNumberFormat="1" applyFont="1" applyAlignment="1">
      <alignment horizontal="right" vertical="center"/>
    </xf>
    <xf numFmtId="0" fontId="2" fillId="2" borderId="1" xfId="0" applyFont="1" applyFill="1" applyBorder="1" applyAlignment="1">
      <alignment horizontal="center" vertical="center" wrapText="1"/>
    </xf>
    <xf numFmtId="164" fontId="5" fillId="4" borderId="0" xfId="0" applyNumberFormat="1" applyFont="1" applyFill="1" applyAlignment="1">
      <alignment horizontal="right" vertical="center"/>
    </xf>
    <xf numFmtId="0" fontId="6" fillId="4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left" vertical="center" wrapText="1"/>
    </xf>
    <xf numFmtId="164" fontId="5" fillId="5" borderId="0" xfId="0" applyNumberFormat="1" applyFont="1" applyFill="1" applyAlignment="1">
      <alignment horizontal="right" vertical="center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left" vertical="center" wrapText="1"/>
    </xf>
    <xf numFmtId="165" fontId="5" fillId="4" borderId="0" xfId="0" applyNumberFormat="1" applyFont="1" applyFill="1" applyAlignment="1">
      <alignment horizontal="right" vertical="center"/>
    </xf>
    <xf numFmtId="165" fontId="5" fillId="5" borderId="0" xfId="0" applyNumberFormat="1" applyFont="1" applyFill="1" applyAlignment="1">
      <alignment horizontal="right" vertical="center"/>
    </xf>
    <xf numFmtId="166" fontId="5" fillId="5" borderId="0" xfId="0" applyNumberFormat="1" applyFont="1" applyFill="1" applyAlignment="1">
      <alignment horizontal="right" vertical="center"/>
    </xf>
    <xf numFmtId="167" fontId="5" fillId="4" borderId="0" xfId="0" applyNumberFormat="1" applyFont="1" applyFill="1" applyAlignment="1">
      <alignment horizontal="right" vertical="center"/>
    </xf>
    <xf numFmtId="164" fontId="5" fillId="6" borderId="0" xfId="0" applyNumberFormat="1" applyFont="1" applyFill="1" applyAlignment="1">
      <alignment horizontal="right" vertical="center"/>
    </xf>
    <xf numFmtId="164" fontId="7" fillId="4" borderId="0" xfId="0" applyNumberFormat="1" applyFont="1" applyFill="1" applyAlignment="1">
      <alignment horizontal="right" vertical="center"/>
    </xf>
    <xf numFmtId="165" fontId="5" fillId="6" borderId="0" xfId="0" applyNumberFormat="1" applyFont="1" applyFill="1" applyAlignment="1">
      <alignment horizontal="right" vertical="center"/>
    </xf>
    <xf numFmtId="165" fontId="7" fillId="4" borderId="0" xfId="0" applyNumberFormat="1" applyFont="1" applyFill="1" applyAlignment="1">
      <alignment horizontal="right" vertical="center"/>
    </xf>
    <xf numFmtId="167" fontId="5" fillId="6" borderId="0" xfId="0" applyNumberFormat="1" applyFont="1" applyFill="1" applyAlignment="1">
      <alignment horizontal="right" vertical="center"/>
    </xf>
    <xf numFmtId="167" fontId="5" fillId="5" borderId="0" xfId="0" applyNumberFormat="1" applyFont="1" applyFill="1" applyAlignment="1">
      <alignment horizontal="right" vertical="center"/>
    </xf>
    <xf numFmtId="168" fontId="5" fillId="4" borderId="0" xfId="0" applyNumberFormat="1" applyFont="1" applyFill="1" applyAlignment="1">
      <alignment horizontal="right" vertical="center"/>
    </xf>
    <xf numFmtId="168" fontId="5" fillId="5" borderId="0" xfId="0" applyNumberFormat="1" applyFont="1" applyFill="1" applyAlignment="1">
      <alignment horizontal="right" vertical="center"/>
    </xf>
    <xf numFmtId="169" fontId="7" fillId="5" borderId="0" xfId="0" applyNumberFormat="1" applyFont="1" applyFill="1" applyAlignment="1">
      <alignment horizontal="right" vertical="center"/>
    </xf>
    <xf numFmtId="169" fontId="7" fillId="4" borderId="0" xfId="0" applyNumberFormat="1" applyFont="1" applyFill="1" applyAlignment="1">
      <alignment horizontal="right" vertical="center"/>
    </xf>
    <xf numFmtId="0" fontId="4" fillId="4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164" fontId="7" fillId="5" borderId="0" xfId="0" applyNumberFormat="1" applyFont="1" applyFill="1" applyAlignment="1">
      <alignment horizontal="right" vertical="center"/>
    </xf>
    <xf numFmtId="167" fontId="7" fillId="4" borderId="0" xfId="0" applyNumberFormat="1" applyFont="1" applyFill="1" applyAlignment="1">
      <alignment horizontal="right" vertical="center"/>
    </xf>
    <xf numFmtId="166" fontId="5" fillId="4" borderId="0" xfId="0" applyNumberFormat="1" applyFont="1" applyFill="1" applyAlignment="1">
      <alignment horizontal="right" vertical="center"/>
    </xf>
    <xf numFmtId="167" fontId="7" fillId="5" borderId="0" xfId="0" applyNumberFormat="1" applyFont="1" applyFill="1" applyAlignment="1">
      <alignment horizontal="right" vertical="center"/>
    </xf>
    <xf numFmtId="166" fontId="7" fillId="4" borderId="0" xfId="0" applyNumberFormat="1" applyFont="1" applyFill="1" applyAlignment="1">
      <alignment horizontal="right" vertical="center"/>
    </xf>
    <xf numFmtId="166" fontId="7" fillId="5" borderId="0" xfId="0" applyNumberFormat="1" applyFont="1" applyFill="1" applyAlignment="1">
      <alignment horizontal="right" vertical="center"/>
    </xf>
    <xf numFmtId="0" fontId="8" fillId="4" borderId="0" xfId="0" applyFont="1" applyFill="1"/>
    <xf numFmtId="0" fontId="8" fillId="5" borderId="0" xfId="0" applyFont="1" applyFill="1"/>
    <xf numFmtId="165" fontId="7" fillId="5" borderId="0" xfId="0" applyNumberFormat="1" applyFont="1" applyFill="1" applyAlignment="1">
      <alignment horizontal="right" vertical="center"/>
    </xf>
    <xf numFmtId="164" fontId="9" fillId="5" borderId="0" xfId="0" applyNumberFormat="1" applyFont="1" applyFill="1" applyAlignment="1">
      <alignment horizontal="right" vertical="center"/>
    </xf>
    <xf numFmtId="170" fontId="9" fillId="4" borderId="0" xfId="0" applyNumberFormat="1" applyFont="1" applyFill="1" applyAlignment="1">
      <alignment horizontal="right" vertical="center"/>
    </xf>
    <xf numFmtId="171" fontId="2" fillId="2" borderId="1" xfId="0" applyNumberFormat="1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left" vertical="center" wrapText="1"/>
    </xf>
    <xf numFmtId="167" fontId="10" fillId="3" borderId="0" xfId="0" applyNumberFormat="1" applyFont="1" applyFill="1" applyAlignment="1">
      <alignment horizontal="right" vertical="center"/>
    </xf>
    <xf numFmtId="167" fontId="9" fillId="4" borderId="0" xfId="0" applyNumberFormat="1" applyFont="1" applyFill="1" applyAlignment="1">
      <alignment horizontal="right" vertical="center"/>
    </xf>
    <xf numFmtId="167" fontId="9" fillId="5" borderId="0" xfId="0" applyNumberFormat="1" applyFont="1" applyFill="1" applyAlignment="1">
      <alignment horizontal="right" vertical="center"/>
    </xf>
    <xf numFmtId="167" fontId="10" fillId="5" borderId="0" xfId="0" applyNumberFormat="1" applyFont="1" applyFill="1" applyAlignment="1">
      <alignment horizontal="right" vertical="center"/>
    </xf>
    <xf numFmtId="164" fontId="9" fillId="4" borderId="0" xfId="0" applyNumberFormat="1" applyFont="1" applyFill="1" applyAlignment="1">
      <alignment horizontal="right" vertical="center"/>
    </xf>
    <xf numFmtId="170" fontId="7" fillId="5" borderId="0" xfId="0" applyNumberFormat="1" applyFont="1" applyFill="1" applyAlignment="1">
      <alignment horizontal="right" vertical="center"/>
    </xf>
    <xf numFmtId="165" fontId="2" fillId="2" borderId="0" xfId="0" applyNumberFormat="1" applyFont="1" applyFill="1" applyAlignment="1">
      <alignment horizontal="right" vertical="center"/>
    </xf>
    <xf numFmtId="165" fontId="5" fillId="0" borderId="0" xfId="0" applyNumberFormat="1" applyFont="1" applyAlignment="1">
      <alignment horizontal="right" vertical="center"/>
    </xf>
    <xf numFmtId="172" fontId="7" fillId="4" borderId="0" xfId="0" applyNumberFormat="1" applyFont="1" applyFill="1" applyAlignment="1">
      <alignment horizontal="right" vertical="center"/>
    </xf>
    <xf numFmtId="172" fontId="7" fillId="5" borderId="0" xfId="0" applyNumberFormat="1" applyFont="1" applyFill="1" applyAlignment="1">
      <alignment horizontal="right" vertical="center"/>
    </xf>
    <xf numFmtId="172" fontId="7" fillId="6" borderId="0" xfId="0" applyNumberFormat="1" applyFont="1" applyFill="1" applyAlignment="1">
      <alignment horizontal="right" vertical="center"/>
    </xf>
    <xf numFmtId="0" fontId="7" fillId="4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0" fillId="0" borderId="0" xfId="0"/>
    <xf numFmtId="0" fontId="1" fillId="0" borderId="0" xfId="0" applyFont="1" applyAlignment="1">
      <alignment horizontal="left" vertical="center"/>
    </xf>
    <xf numFmtId="0" fontId="4" fillId="4" borderId="0" xfId="0" applyFont="1" applyFill="1" applyAlignment="1">
      <alignment horizontal="left" vertical="center" wrapText="1"/>
    </xf>
    <xf numFmtId="0" fontId="0" fillId="4" borderId="0" xfId="0" applyFill="1"/>
    <xf numFmtId="0" fontId="4" fillId="5" borderId="0" xfId="0" applyFont="1" applyFill="1" applyAlignment="1">
      <alignment horizontal="left" vertical="center" wrapText="1"/>
    </xf>
    <xf numFmtId="0" fontId="0" fillId="5" borderId="0" xfId="0" applyFill="1"/>
    <xf numFmtId="0" fontId="3" fillId="3" borderId="0" xfId="0" applyFont="1" applyFill="1" applyAlignment="1">
      <alignment horizontal="left" vertical="center"/>
    </xf>
    <xf numFmtId="0" fontId="6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10"/>
  <c:chart>
    <c:title>
      <c:tx>
        <c:rich>
          <a:bodyPr/>
          <a:lstStyle/>
          <a:p>
            <a:pPr>
              <a:defRPr sz="1300" b="0">
                <a:latin typeface="Noto Sans SC"/>
                <a:ea typeface="Noto Sans SC"/>
              </a:defRPr>
            </a:pPr>
            <a:r>
              <a:rPr sz="1300" b="0">
                <a:latin typeface="Noto Sans SC"/>
                <a:ea typeface="Noto Sans SC"/>
              </a:rPr>
              <a:t>Структура выручки, мес 24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Резюме!$L$21</c:f>
              <c:strCache>
                <c:ptCount val="1"/>
                <c:pt idx="0">
                  <c:v>Выручка, ₽</c:v>
                </c:pt>
              </c:strCache>
            </c:strRef>
          </c:tx>
          <c:spPr>
            <a:ln>
              <a:prstDash val="solid"/>
            </a:ln>
          </c:spPr>
          <c:cat>
            <c:strRef>
              <c:f>Резюме!$K$22:$K$25</c:f>
              <c:strCache>
                <c:ptCount val="4"/>
                <c:pt idx="0">
                  <c:v>Подписки «Старт»</c:v>
                </c:pt>
                <c:pt idx="1">
                  <c:v>Подписки «Бизнес»</c:v>
                </c:pt>
                <c:pt idx="2">
                  <c:v>Разовые (вакансии+приглашения)</c:v>
                </c:pt>
                <c:pt idx="3">
                  <c:v>Штрафы SLA</c:v>
                </c:pt>
              </c:strCache>
            </c:strRef>
          </c:cat>
          <c:val>
            <c:numRef>
              <c:f>Резюме!$L$22:$L$25</c:f>
              <c:numCache>
                <c:formatCode>#\ ##0;\(#\ ##0\);"–"</c:formatCode>
                <c:ptCount val="4"/>
                <c:pt idx="0">
                  <c:v>2528349</c:v>
                </c:pt>
                <c:pt idx="1">
                  <c:v>2443560</c:v>
                </c:pt>
                <c:pt idx="2">
                  <c:v>511894</c:v>
                </c:pt>
                <c:pt idx="3">
                  <c:v>14464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06-45A0-A08A-E156267277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10"/>
  <c:chart>
    <c:title>
      <c:tx>
        <c:rich>
          <a:bodyPr/>
          <a:lstStyle/>
          <a:p>
            <a:pPr>
              <a:defRPr sz="1300" b="0">
                <a:latin typeface="Noto Sans SC"/>
                <a:ea typeface="Noto Sans SC"/>
              </a:defRPr>
            </a:pPr>
            <a:r>
              <a:rPr sz="1300" b="0">
                <a:latin typeface="Noto Sans SC"/>
                <a:ea typeface="Noto Sans SC"/>
              </a:rPr>
              <a:t>Полные затраты на один IT-найм по каналам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'Затраты работодателя'!$K$4</c:f>
              <c:strCache>
                <c:ptCount val="1"/>
                <c:pt idx="0">
                  <c:v>Всего, ₽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'Затраты работодателя'!$J$5:$J$11</c:f>
              <c:strCache>
                <c:ptCount val="7"/>
                <c:pt idx="0">
                  <c:v>COMIT разовый</c:v>
                </c:pt>
                <c:pt idx="1">
                  <c:v>COMIT «Старт»</c:v>
                </c:pt>
                <c:pt idx="2">
                  <c:v>hh.ru самост.</c:v>
                </c:pt>
                <c:pt idx="3">
                  <c:v>Хабр Карьера</c:v>
                </c:pt>
                <c:pt idx="4">
                  <c:v>Агентство</c:v>
                </c:pt>
                <c:pt idx="5">
                  <c:v>Полная ст-ть найма</c:v>
                </c:pt>
                <c:pt idx="6">
                  <c:v>In-house рекрутер</c:v>
                </c:pt>
              </c:strCache>
            </c:strRef>
          </c:cat>
          <c:val>
            <c:numRef>
              <c:f>'Затраты работодателя'!$K$5:$K$11</c:f>
              <c:numCache>
                <c:formatCode>#\ ##0;\(#\ ##0\);"–"</c:formatCode>
                <c:ptCount val="7"/>
                <c:pt idx="0">
                  <c:v>4081</c:v>
                </c:pt>
                <c:pt idx="1">
                  <c:v>7950</c:v>
                </c:pt>
                <c:pt idx="2">
                  <c:v>103680</c:v>
                </c:pt>
                <c:pt idx="3">
                  <c:v>75246</c:v>
                </c:pt>
                <c:pt idx="4">
                  <c:v>448480</c:v>
                </c:pt>
                <c:pt idx="5">
                  <c:v>548100</c:v>
                </c:pt>
                <c:pt idx="6">
                  <c:v>295750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97-48F0-A0CD-D71051545E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#\ ##0;\(#\ ##0\);&quot;–&quot;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10"/>
  <c:chart>
    <c:title>
      <c:tx>
        <c:rich>
          <a:bodyPr/>
          <a:lstStyle/>
          <a:p>
            <a:pPr>
              <a:defRPr sz="1300" b="0">
                <a:latin typeface="Noto Sans SC"/>
                <a:ea typeface="Noto Sans SC"/>
              </a:defRPr>
            </a:pPr>
            <a:r>
              <a:rPr sz="1300" b="0">
                <a:latin typeface="Noto Sans SC"/>
                <a:ea typeface="Noto Sans SC"/>
              </a:rPr>
              <a:t>Выручка и EBITDA по месяцам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Выручка!$C$23</c:f>
              <c:strCache>
                <c:ptCount val="1"/>
                <c:pt idx="0">
                  <c:v>Выручка, ₽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Выручка!$B$24:$B$47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Выручка!$C$24:$C$47</c:f>
              <c:numCache>
                <c:formatCode>#\ ##0;\(#\ ##0\);"–"</c:formatCode>
                <c:ptCount val="24"/>
                <c:pt idx="0">
                  <c:v>67278</c:v>
                </c:pt>
                <c:pt idx="1">
                  <c:v>137247</c:v>
                </c:pt>
                <c:pt idx="2">
                  <c:v>210682</c:v>
                </c:pt>
                <c:pt idx="3">
                  <c:v>288452</c:v>
                </c:pt>
                <c:pt idx="4">
                  <c:v>371542</c:v>
                </c:pt>
                <c:pt idx="5">
                  <c:v>461069</c:v>
                </c:pt>
                <c:pt idx="6">
                  <c:v>558298</c:v>
                </c:pt>
                <c:pt idx="7">
                  <c:v>664671</c:v>
                </c:pt>
                <c:pt idx="8">
                  <c:v>781832</c:v>
                </c:pt>
                <c:pt idx="9">
                  <c:v>911657</c:v>
                </c:pt>
                <c:pt idx="10">
                  <c:v>1056292</c:v>
                </c:pt>
                <c:pt idx="11">
                  <c:v>1218191</c:v>
                </c:pt>
                <c:pt idx="12">
                  <c:v>1400166</c:v>
                </c:pt>
                <c:pt idx="13">
                  <c:v>1605438</c:v>
                </c:pt>
                <c:pt idx="14">
                  <c:v>1837701</c:v>
                </c:pt>
                <c:pt idx="15">
                  <c:v>2101195</c:v>
                </c:pt>
                <c:pt idx="16">
                  <c:v>2400785</c:v>
                </c:pt>
                <c:pt idx="17">
                  <c:v>2742056</c:v>
                </c:pt>
                <c:pt idx="18">
                  <c:v>3131423</c:v>
                </c:pt>
                <c:pt idx="19">
                  <c:v>3576255</c:v>
                </c:pt>
                <c:pt idx="20">
                  <c:v>4085020</c:v>
                </c:pt>
                <c:pt idx="21">
                  <c:v>4580462</c:v>
                </c:pt>
                <c:pt idx="22">
                  <c:v>5051131</c:v>
                </c:pt>
                <c:pt idx="23">
                  <c:v>5498267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E78-4F5D-BDD1-E6FDBC849659}"/>
            </c:ext>
          </c:extLst>
        </c:ser>
        <c:ser>
          <c:idx val="1"/>
          <c:order val="1"/>
          <c:tx>
            <c:strRef>
              <c:f>Выручка!$D$23</c:f>
              <c:strCache>
                <c:ptCount val="1"/>
                <c:pt idx="0">
                  <c:v>EBITDA, ₽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Выручка!$B$24:$B$47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Выручка!$D$24:$D$47</c:f>
              <c:numCache>
                <c:formatCode>#\ ##0;\(#\ ##0\);"–"</c:formatCode>
                <c:ptCount val="24"/>
                <c:pt idx="0">
                  <c:v>-712465</c:v>
                </c:pt>
                <c:pt idx="1">
                  <c:v>-654826</c:v>
                </c:pt>
                <c:pt idx="2">
                  <c:v>-595265</c:v>
                </c:pt>
                <c:pt idx="3">
                  <c:v>-533156</c:v>
                </c:pt>
                <c:pt idx="4">
                  <c:v>-467799</c:v>
                </c:pt>
                <c:pt idx="5">
                  <c:v>-398402</c:v>
                </c:pt>
                <c:pt idx="6">
                  <c:v>-874071</c:v>
                </c:pt>
                <c:pt idx="7">
                  <c:v>-793793</c:v>
                </c:pt>
                <c:pt idx="8">
                  <c:v>-706416</c:v>
                </c:pt>
                <c:pt idx="9">
                  <c:v>-610626</c:v>
                </c:pt>
                <c:pt idx="10">
                  <c:v>-504929</c:v>
                </c:pt>
                <c:pt idx="11">
                  <c:v>-387614</c:v>
                </c:pt>
                <c:pt idx="12">
                  <c:v>-256727</c:v>
                </c:pt>
                <c:pt idx="13">
                  <c:v>-110031</c:v>
                </c:pt>
                <c:pt idx="14">
                  <c:v>55036</c:v>
                </c:pt>
                <c:pt idx="15">
                  <c:v>241413</c:v>
                </c:pt>
                <c:pt idx="16">
                  <c:v>452467</c:v>
                </c:pt>
                <c:pt idx="17">
                  <c:v>692064</c:v>
                </c:pt>
                <c:pt idx="18">
                  <c:v>964642</c:v>
                </c:pt>
                <c:pt idx="19">
                  <c:v>1275296</c:v>
                </c:pt>
                <c:pt idx="20">
                  <c:v>1629877</c:v>
                </c:pt>
                <c:pt idx="21">
                  <c:v>2085099</c:v>
                </c:pt>
                <c:pt idx="22">
                  <c:v>2535180</c:v>
                </c:pt>
                <c:pt idx="23">
                  <c:v>2962758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E78-4F5D-BDD1-E6FDBC8496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#\ ##0;\(#\ ##0\);&quot;–&quot;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10"/>
  <c:chart>
    <c:title>
      <c:tx>
        <c:rich>
          <a:bodyPr/>
          <a:lstStyle/>
          <a:p>
            <a:pPr>
              <a:defRPr sz="1300" b="0">
                <a:latin typeface="Noto Sans SC"/>
                <a:ea typeface="Noto Sans SC"/>
              </a:defRPr>
            </a:pPr>
            <a:r>
              <a:rPr sz="1300" b="0">
                <a:latin typeface="Noto Sans SC"/>
                <a:ea typeface="Noto Sans SC"/>
              </a:rPr>
              <a:t>Выручка vs затраты: выход в плюс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Безубыточность!$C$14</c:f>
              <c:strCache>
                <c:ptCount val="1"/>
                <c:pt idx="0">
                  <c:v>Выручка, ₽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Безубыточность!$B$15:$B$38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Безубыточность!$C$15:$C$38</c:f>
              <c:numCache>
                <c:formatCode>#\ ##0;\(#\ ##0\);"–"</c:formatCode>
                <c:ptCount val="24"/>
                <c:pt idx="0">
                  <c:v>67278</c:v>
                </c:pt>
                <c:pt idx="1">
                  <c:v>137247</c:v>
                </c:pt>
                <c:pt idx="2">
                  <c:v>210682</c:v>
                </c:pt>
                <c:pt idx="3">
                  <c:v>288452</c:v>
                </c:pt>
                <c:pt idx="4">
                  <c:v>371542</c:v>
                </c:pt>
                <c:pt idx="5">
                  <c:v>461069</c:v>
                </c:pt>
                <c:pt idx="6">
                  <c:v>558298</c:v>
                </c:pt>
                <c:pt idx="7">
                  <c:v>664671</c:v>
                </c:pt>
                <c:pt idx="8">
                  <c:v>781832</c:v>
                </c:pt>
                <c:pt idx="9">
                  <c:v>911657</c:v>
                </c:pt>
                <c:pt idx="10">
                  <c:v>1056292</c:v>
                </c:pt>
                <c:pt idx="11">
                  <c:v>1218191</c:v>
                </c:pt>
                <c:pt idx="12">
                  <c:v>1400166</c:v>
                </c:pt>
                <c:pt idx="13">
                  <c:v>1605438</c:v>
                </c:pt>
                <c:pt idx="14">
                  <c:v>1837701</c:v>
                </c:pt>
                <c:pt idx="15">
                  <c:v>2101195</c:v>
                </c:pt>
                <c:pt idx="16">
                  <c:v>2400785</c:v>
                </c:pt>
                <c:pt idx="17">
                  <c:v>2742056</c:v>
                </c:pt>
                <c:pt idx="18">
                  <c:v>3131423</c:v>
                </c:pt>
                <c:pt idx="19">
                  <c:v>3576255</c:v>
                </c:pt>
                <c:pt idx="20">
                  <c:v>4085020</c:v>
                </c:pt>
                <c:pt idx="21">
                  <c:v>4580462</c:v>
                </c:pt>
                <c:pt idx="22">
                  <c:v>5051131</c:v>
                </c:pt>
                <c:pt idx="23">
                  <c:v>5498267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CDA-4291-B533-64EB0A84172F}"/>
            </c:ext>
          </c:extLst>
        </c:ser>
        <c:ser>
          <c:idx val="1"/>
          <c:order val="1"/>
          <c:tx>
            <c:strRef>
              <c:f>Безубыточность!$D$14</c:f>
              <c:strCache>
                <c:ptCount val="1"/>
                <c:pt idx="0">
                  <c:v>Затраты, ₽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Безубыточность!$B$15:$B$38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Безубыточность!$D$15:$D$38</c:f>
              <c:numCache>
                <c:formatCode>#\ ##0;\(#\ ##0\);"–"</c:formatCode>
                <c:ptCount val="24"/>
                <c:pt idx="0">
                  <c:v>779743</c:v>
                </c:pt>
                <c:pt idx="1">
                  <c:v>792074</c:v>
                </c:pt>
                <c:pt idx="2">
                  <c:v>805946</c:v>
                </c:pt>
                <c:pt idx="3">
                  <c:v>821608</c:v>
                </c:pt>
                <c:pt idx="4">
                  <c:v>839341</c:v>
                </c:pt>
                <c:pt idx="5">
                  <c:v>859470</c:v>
                </c:pt>
                <c:pt idx="6">
                  <c:v>1432369</c:v>
                </c:pt>
                <c:pt idx="7">
                  <c:v>1458464</c:v>
                </c:pt>
                <c:pt idx="8">
                  <c:v>1488247</c:v>
                </c:pt>
                <c:pt idx="9">
                  <c:v>1522283</c:v>
                </c:pt>
                <c:pt idx="10">
                  <c:v>1561221</c:v>
                </c:pt>
                <c:pt idx="11">
                  <c:v>1605805</c:v>
                </c:pt>
                <c:pt idx="12">
                  <c:v>1656893</c:v>
                </c:pt>
                <c:pt idx="13">
                  <c:v>1715469</c:v>
                </c:pt>
                <c:pt idx="14">
                  <c:v>1782665</c:v>
                </c:pt>
                <c:pt idx="15">
                  <c:v>1859783</c:v>
                </c:pt>
                <c:pt idx="16">
                  <c:v>1948318</c:v>
                </c:pt>
                <c:pt idx="17">
                  <c:v>2049991</c:v>
                </c:pt>
                <c:pt idx="18">
                  <c:v>2166780</c:v>
                </c:pt>
                <c:pt idx="19">
                  <c:v>2300959</c:v>
                </c:pt>
                <c:pt idx="20">
                  <c:v>2455142</c:v>
                </c:pt>
                <c:pt idx="21">
                  <c:v>2495363</c:v>
                </c:pt>
                <c:pt idx="22">
                  <c:v>2515951</c:v>
                </c:pt>
                <c:pt idx="23">
                  <c:v>2535510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CDA-4291-B533-64EB0A8417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#\ ##0;\(#\ ##0\);&quot;–&quot;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19</xdr:row>
      <xdr:rowOff>0</xdr:rowOff>
    </xdr:from>
    <xdr:ext cx="468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17</xdr:row>
      <xdr:rowOff>0</xdr:rowOff>
    </xdr:from>
    <xdr:ext cx="7560000" cy="39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21</xdr:row>
      <xdr:rowOff>0</xdr:rowOff>
    </xdr:from>
    <xdr:ext cx="7920000" cy="39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12</xdr:row>
      <xdr:rowOff>0</xdr:rowOff>
    </xdr:from>
    <xdr:ext cx="7920000" cy="39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25"/>
  <sheetViews>
    <sheetView showGridLines="0" tabSelected="1" workbookViewId="0"/>
  </sheetViews>
  <sheetFormatPr defaultRowHeight="14.4"/>
  <cols>
    <col min="1" max="1" width="3" customWidth="1"/>
    <col min="2" max="2" width="22" customWidth="1"/>
    <col min="3" max="3" width="5" customWidth="1"/>
    <col min="4" max="4" width="22" customWidth="1"/>
    <col min="5" max="5" width="5" customWidth="1"/>
    <col min="6" max="6" width="22" customWidth="1"/>
    <col min="7" max="7" width="5" customWidth="1"/>
    <col min="8" max="8" width="22" customWidth="1"/>
    <col min="9" max="9" width="5" customWidth="1"/>
    <col min="11" max="11" width="30" customWidth="1"/>
    <col min="12" max="12" width="13" customWidth="1"/>
  </cols>
  <sheetData>
    <row r="1" spans="2:8" ht="15" customHeight="1"/>
    <row r="2" spans="2:8" ht="31.95" customHeight="1">
      <c r="B2" s="63" t="s">
        <v>0</v>
      </c>
      <c r="C2" s="62"/>
      <c r="D2" s="62"/>
      <c r="E2" s="62"/>
      <c r="F2" s="62"/>
      <c r="G2" s="62"/>
    </row>
    <row r="3" spans="2:8">
      <c r="B3" s="61" t="s">
        <v>1</v>
      </c>
      <c r="C3" s="62"/>
      <c r="D3" s="62"/>
      <c r="E3" s="62"/>
      <c r="F3" s="62"/>
      <c r="G3" s="62"/>
    </row>
    <row r="5" spans="2:8" ht="30" customHeight="1">
      <c r="B5" s="1">
        <f>'Затраты работодателя'!F5</f>
        <v>4081</v>
      </c>
      <c r="D5" s="1">
        <f>'Затраты работодателя'!F10</f>
        <v>548100</v>
      </c>
      <c r="F5" s="2">
        <f>'Затраты работодателя'!G14</f>
        <v>0.99255427841634736</v>
      </c>
      <c r="H5" s="3">
        <f>Выручка!Z8</f>
        <v>1021.5552215359961</v>
      </c>
    </row>
    <row r="6" spans="2:8" ht="25.95" customHeight="1">
      <c r="B6" s="4" t="s">
        <v>2</v>
      </c>
      <c r="D6" s="4" t="s">
        <v>3</v>
      </c>
      <c r="F6" s="4" t="s">
        <v>4</v>
      </c>
      <c r="H6" s="4" t="s">
        <v>5</v>
      </c>
    </row>
    <row r="9" spans="2:8" ht="30" customHeight="1">
      <c r="B9" s="1">
        <f>Выручка!Z18*12</f>
        <v>65979209.771871306</v>
      </c>
      <c r="D9" s="3">
        <f>Безубыточность!C8</f>
        <v>15</v>
      </c>
      <c r="F9" s="5">
        <f>'Юнит-экономика'!C16</f>
        <v>12.324370949267895</v>
      </c>
      <c r="H9" s="2">
        <f>'Юнит-экономика'!C11</f>
        <v>0.95621561250894871</v>
      </c>
    </row>
    <row r="10" spans="2:8" ht="25.95" customHeight="1">
      <c r="B10" s="4" t="s">
        <v>6</v>
      </c>
      <c r="D10" s="4" t="s">
        <v>7</v>
      </c>
      <c r="F10" s="4" t="s">
        <v>8</v>
      </c>
      <c r="H10" s="4" t="s">
        <v>9</v>
      </c>
    </row>
    <row r="13" spans="2:8" ht="24" customHeight="1">
      <c r="B13" s="68" t="s">
        <v>10</v>
      </c>
      <c r="C13" s="62"/>
      <c r="D13" s="62"/>
      <c r="E13" s="62"/>
      <c r="F13" s="62"/>
      <c r="G13" s="62"/>
    </row>
    <row r="14" spans="2:8" ht="42" customHeight="1">
      <c r="B14" s="64" t="s">
        <v>11</v>
      </c>
      <c r="C14" s="65"/>
      <c r="D14" s="65"/>
      <c r="E14" s="65"/>
      <c r="F14" s="65"/>
      <c r="G14" s="65"/>
    </row>
    <row r="15" spans="2:8" ht="42" customHeight="1">
      <c r="B15" s="66" t="s">
        <v>12</v>
      </c>
      <c r="C15" s="67"/>
      <c r="D15" s="67"/>
      <c r="E15" s="67"/>
      <c r="F15" s="67"/>
      <c r="G15" s="67"/>
    </row>
    <row r="16" spans="2:8" ht="42" customHeight="1">
      <c r="B16" s="64" t="s">
        <v>13</v>
      </c>
      <c r="C16" s="65"/>
      <c r="D16" s="65"/>
      <c r="E16" s="65"/>
      <c r="F16" s="65"/>
      <c r="G16" s="65"/>
    </row>
    <row r="17" spans="2:12" ht="42" customHeight="1">
      <c r="B17" s="66" t="s">
        <v>14</v>
      </c>
      <c r="C17" s="67"/>
      <c r="D17" s="67"/>
      <c r="E17" s="67"/>
      <c r="F17" s="67"/>
      <c r="G17" s="67"/>
    </row>
    <row r="18" spans="2:12" ht="42" customHeight="1">
      <c r="B18" s="64" t="s">
        <v>15</v>
      </c>
      <c r="C18" s="65"/>
      <c r="D18" s="65"/>
      <c r="E18" s="65"/>
      <c r="F18" s="65"/>
      <c r="G18" s="65"/>
    </row>
    <row r="20" spans="2:12">
      <c r="K20" s="10" t="s">
        <v>16</v>
      </c>
    </row>
    <row r="21" spans="2:12">
      <c r="K21" s="10" t="s">
        <v>17</v>
      </c>
      <c r="L21" s="10" t="s">
        <v>18</v>
      </c>
    </row>
    <row r="22" spans="2:12">
      <c r="K22" s="10" t="s">
        <v>19</v>
      </c>
      <c r="L22" s="11">
        <v>2528349</v>
      </c>
    </row>
    <row r="23" spans="2:12">
      <c r="K23" s="10" t="s">
        <v>20</v>
      </c>
      <c r="L23" s="11">
        <v>2443560</v>
      </c>
    </row>
    <row r="24" spans="2:12">
      <c r="K24" s="10" t="s">
        <v>21</v>
      </c>
      <c r="L24" s="11">
        <v>511894</v>
      </c>
    </row>
    <row r="25" spans="2:12">
      <c r="K25" s="10" t="s">
        <v>22</v>
      </c>
      <c r="L25" s="11">
        <v>14464</v>
      </c>
    </row>
  </sheetData>
  <mergeCells count="8">
    <mergeCell ref="B18:G18"/>
    <mergeCell ref="B13:G13"/>
    <mergeCell ref="B15:G15"/>
    <mergeCell ref="B3:G3"/>
    <mergeCell ref="B2:G2"/>
    <mergeCell ref="B16:G16"/>
    <mergeCell ref="B14:G14"/>
    <mergeCell ref="B17:G17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E75"/>
  <sheetViews>
    <sheetView showGridLines="0" workbookViewId="0"/>
  </sheetViews>
  <sheetFormatPr defaultRowHeight="14.4"/>
  <cols>
    <col min="1" max="1" width="3" customWidth="1"/>
    <col min="2" max="2" width="42" customWidth="1"/>
    <col min="3" max="4" width="13" customWidth="1"/>
    <col min="5" max="5" width="52" customWidth="1"/>
  </cols>
  <sheetData>
    <row r="1" spans="2:5" ht="15" customHeight="1"/>
    <row r="2" spans="2:5" ht="31.95" customHeight="1">
      <c r="B2" s="63" t="s">
        <v>23</v>
      </c>
      <c r="C2" s="62"/>
      <c r="D2" s="62"/>
      <c r="E2" s="62"/>
    </row>
    <row r="3" spans="2:5" ht="7.95" customHeight="1"/>
    <row r="4" spans="2:5" ht="28.05" customHeight="1">
      <c r="B4" s="12" t="s">
        <v>24</v>
      </c>
      <c r="C4" s="12" t="s">
        <v>25</v>
      </c>
      <c r="D4" s="12" t="s">
        <v>26</v>
      </c>
      <c r="E4" s="12" t="s">
        <v>27</v>
      </c>
    </row>
    <row r="5" spans="2:5" ht="19.95" customHeight="1">
      <c r="B5" s="68" t="s">
        <v>28</v>
      </c>
      <c r="C5" s="62"/>
      <c r="D5" s="62"/>
      <c r="E5" s="62"/>
    </row>
    <row r="6" spans="2:5" ht="19.95" customHeight="1">
      <c r="B6" s="6" t="s">
        <v>29</v>
      </c>
      <c r="C6" s="13">
        <v>182700</v>
      </c>
      <c r="D6" s="14" t="s">
        <v>30</v>
      </c>
      <c r="E6" s="15" t="s">
        <v>31</v>
      </c>
    </row>
    <row r="7" spans="2:5" ht="19.95" customHeight="1">
      <c r="B7" s="8" t="s">
        <v>32</v>
      </c>
      <c r="C7" s="16">
        <v>77000</v>
      </c>
      <c r="D7" s="17" t="s">
        <v>30</v>
      </c>
      <c r="E7" s="18" t="s">
        <v>33</v>
      </c>
    </row>
    <row r="8" spans="2:5" ht="19.95" customHeight="1">
      <c r="B8" s="6" t="s">
        <v>34</v>
      </c>
      <c r="C8" s="13">
        <v>167000</v>
      </c>
      <c r="D8" s="14" t="s">
        <v>30</v>
      </c>
      <c r="E8" s="15" t="s">
        <v>33</v>
      </c>
    </row>
    <row r="9" spans="2:5" ht="19.95" customHeight="1">
      <c r="B9" s="8" t="s">
        <v>35</v>
      </c>
      <c r="C9" s="16">
        <v>280000</v>
      </c>
      <c r="D9" s="17" t="s">
        <v>30</v>
      </c>
      <c r="E9" s="18" t="s">
        <v>33</v>
      </c>
    </row>
    <row r="10" spans="2:5" ht="19.95" customHeight="1">
      <c r="B10" s="6" t="s">
        <v>36</v>
      </c>
      <c r="C10" s="19">
        <v>0.2</v>
      </c>
      <c r="D10" s="14" t="s">
        <v>37</v>
      </c>
      <c r="E10" s="15" t="s">
        <v>38</v>
      </c>
    </row>
    <row r="11" spans="2:5" ht="19.95" customHeight="1">
      <c r="B11" s="8" t="s">
        <v>39</v>
      </c>
      <c r="C11" s="20">
        <v>0.25</v>
      </c>
      <c r="D11" s="17" t="s">
        <v>40</v>
      </c>
      <c r="E11" s="18" t="s">
        <v>41</v>
      </c>
    </row>
    <row r="12" spans="2:5" ht="19.95" customHeight="1">
      <c r="B12" s="6" t="s">
        <v>42</v>
      </c>
      <c r="C12" s="13">
        <v>43000</v>
      </c>
      <c r="D12" s="14" t="s">
        <v>43</v>
      </c>
      <c r="E12" s="15" t="s">
        <v>44</v>
      </c>
    </row>
    <row r="13" spans="2:5" ht="19.95" customHeight="1">
      <c r="B13" s="8" t="s">
        <v>45</v>
      </c>
      <c r="C13" s="21">
        <v>1.75</v>
      </c>
      <c r="D13" s="17" t="s">
        <v>46</v>
      </c>
      <c r="E13" s="18" t="s">
        <v>47</v>
      </c>
    </row>
    <row r="14" spans="2:5" ht="19.95" customHeight="1">
      <c r="B14" s="6" t="s">
        <v>48</v>
      </c>
      <c r="C14" s="22">
        <v>80</v>
      </c>
      <c r="D14" s="14" t="s">
        <v>49</v>
      </c>
      <c r="E14" s="15" t="s">
        <v>50</v>
      </c>
    </row>
    <row r="15" spans="2:5" ht="19.95" customHeight="1">
      <c r="B15" s="8" t="s">
        <v>51</v>
      </c>
      <c r="C15" s="16">
        <v>1000</v>
      </c>
      <c r="D15" s="17" t="s">
        <v>52</v>
      </c>
      <c r="E15" s="18" t="s">
        <v>53</v>
      </c>
    </row>
    <row r="16" spans="2:5" ht="19.95" customHeight="1">
      <c r="B16" s="6" t="s">
        <v>54</v>
      </c>
      <c r="C16" s="22">
        <v>3</v>
      </c>
      <c r="D16" s="14" t="s">
        <v>49</v>
      </c>
      <c r="E16" s="15" t="s">
        <v>55</v>
      </c>
    </row>
    <row r="17" spans="2:5" ht="19.95" customHeight="1">
      <c r="B17" s="8" t="s">
        <v>56</v>
      </c>
      <c r="C17" s="16">
        <v>22080</v>
      </c>
      <c r="D17" s="17" t="s">
        <v>43</v>
      </c>
      <c r="E17" s="18" t="s">
        <v>57</v>
      </c>
    </row>
    <row r="18" spans="2:5" ht="19.95" customHeight="1">
      <c r="B18" s="6" t="s">
        <v>58</v>
      </c>
      <c r="C18" s="13">
        <v>4026</v>
      </c>
      <c r="D18" s="14" t="s">
        <v>43</v>
      </c>
      <c r="E18" s="15" t="s">
        <v>59</v>
      </c>
    </row>
    <row r="19" spans="2:5" ht="19.95" customHeight="1">
      <c r="B19" s="8" t="s">
        <v>60</v>
      </c>
      <c r="C19" s="16">
        <v>800</v>
      </c>
      <c r="D19" s="17" t="s">
        <v>43</v>
      </c>
      <c r="E19" s="18" t="s">
        <v>61</v>
      </c>
    </row>
    <row r="20" spans="2:5" ht="19.95" customHeight="1">
      <c r="B20" s="68" t="s">
        <v>62</v>
      </c>
      <c r="C20" s="62"/>
      <c r="D20" s="62"/>
      <c r="E20" s="62"/>
    </row>
    <row r="21" spans="2:5" ht="19.95" customHeight="1">
      <c r="B21" s="6" t="s">
        <v>63</v>
      </c>
      <c r="C21" s="23">
        <v>199</v>
      </c>
      <c r="D21" s="14" t="s">
        <v>43</v>
      </c>
      <c r="E21" s="15" t="s">
        <v>64</v>
      </c>
    </row>
    <row r="22" spans="2:5" ht="19.95" customHeight="1">
      <c r="B22" s="8" t="s">
        <v>65</v>
      </c>
      <c r="C22" s="23">
        <v>499</v>
      </c>
      <c r="D22" s="17" t="s">
        <v>43</v>
      </c>
      <c r="E22" s="18" t="s">
        <v>66</v>
      </c>
    </row>
    <row r="23" spans="2:5" ht="19.95" customHeight="1">
      <c r="B23" s="6" t="s">
        <v>67</v>
      </c>
      <c r="C23" s="24">
        <f>0.2*C21+0.8*C22</f>
        <v>439.00000000000006</v>
      </c>
      <c r="D23" s="14" t="s">
        <v>43</v>
      </c>
      <c r="E23" s="15" t="s">
        <v>68</v>
      </c>
    </row>
    <row r="24" spans="2:5" ht="19.95" customHeight="1">
      <c r="B24" s="8" t="s">
        <v>69</v>
      </c>
      <c r="C24" s="23">
        <v>49</v>
      </c>
      <c r="D24" s="17" t="s">
        <v>43</v>
      </c>
      <c r="E24" s="18" t="s">
        <v>70</v>
      </c>
    </row>
    <row r="25" spans="2:5" ht="19.95" customHeight="1">
      <c r="B25" s="6" t="s">
        <v>71</v>
      </c>
      <c r="C25" s="23">
        <v>199</v>
      </c>
      <c r="D25" s="14" t="s">
        <v>43</v>
      </c>
      <c r="E25" s="15" t="s">
        <v>72</v>
      </c>
    </row>
    <row r="26" spans="2:5" ht="19.95" customHeight="1">
      <c r="B26" s="8" t="s">
        <v>73</v>
      </c>
      <c r="C26" s="20">
        <v>0.05</v>
      </c>
      <c r="D26" s="17" t="s">
        <v>74</v>
      </c>
      <c r="E26" s="18" t="s">
        <v>75</v>
      </c>
    </row>
    <row r="27" spans="2:5" ht="19.95" customHeight="1">
      <c r="B27" s="6" t="s">
        <v>76</v>
      </c>
      <c r="C27" s="23">
        <v>9900</v>
      </c>
      <c r="D27" s="14" t="s">
        <v>43</v>
      </c>
      <c r="E27" s="15" t="s">
        <v>77</v>
      </c>
    </row>
    <row r="28" spans="2:5" ht="19.95" customHeight="1">
      <c r="B28" s="8" t="s">
        <v>78</v>
      </c>
      <c r="C28" s="23">
        <v>29900</v>
      </c>
      <c r="D28" s="17" t="s">
        <v>43</v>
      </c>
      <c r="E28" s="18" t="s">
        <v>79</v>
      </c>
    </row>
    <row r="29" spans="2:5" ht="19.95" customHeight="1">
      <c r="B29" s="6" t="s">
        <v>80</v>
      </c>
      <c r="C29" s="25">
        <v>0.25</v>
      </c>
      <c r="D29" s="14" t="s">
        <v>74</v>
      </c>
      <c r="E29" s="15" t="s">
        <v>81</v>
      </c>
    </row>
    <row r="30" spans="2:5" ht="19.95" customHeight="1">
      <c r="B30" s="8" t="s">
        <v>82</v>
      </c>
      <c r="C30" s="25">
        <v>0.08</v>
      </c>
      <c r="D30" s="17" t="s">
        <v>74</v>
      </c>
      <c r="E30" s="18" t="s">
        <v>81</v>
      </c>
    </row>
    <row r="31" spans="2:5" ht="19.95" customHeight="1">
      <c r="B31" s="6" t="s">
        <v>83</v>
      </c>
      <c r="C31" s="26">
        <f>1-C29-C30</f>
        <v>0.67</v>
      </c>
      <c r="D31" s="14" t="s">
        <v>74</v>
      </c>
      <c r="E31" s="15" t="s">
        <v>84</v>
      </c>
    </row>
    <row r="32" spans="2:5" ht="19.95" customHeight="1">
      <c r="B32" s="68" t="s">
        <v>85</v>
      </c>
      <c r="C32" s="62"/>
      <c r="D32" s="62"/>
      <c r="E32" s="62"/>
    </row>
    <row r="33" spans="2:5" ht="19.95" customHeight="1">
      <c r="B33" s="6" t="s">
        <v>86</v>
      </c>
      <c r="C33" s="27">
        <v>18</v>
      </c>
      <c r="D33" s="14" t="s">
        <v>87</v>
      </c>
      <c r="E33" s="15" t="s">
        <v>88</v>
      </c>
    </row>
    <row r="34" spans="2:5" ht="19.95" customHeight="1">
      <c r="B34" s="8" t="s">
        <v>89</v>
      </c>
      <c r="C34" s="21">
        <v>1.5</v>
      </c>
      <c r="D34" s="17" t="s">
        <v>90</v>
      </c>
      <c r="E34" s="18" t="s">
        <v>91</v>
      </c>
    </row>
    <row r="35" spans="2:5" ht="19.95" customHeight="1">
      <c r="B35" s="6" t="s">
        <v>92</v>
      </c>
      <c r="C35" s="22">
        <v>12</v>
      </c>
      <c r="D35" s="14" t="s">
        <v>90</v>
      </c>
      <c r="E35" s="15" t="s">
        <v>91</v>
      </c>
    </row>
    <row r="36" spans="2:5" ht="19.95" customHeight="1">
      <c r="B36" s="8" t="s">
        <v>93</v>
      </c>
      <c r="C36" s="28">
        <v>2</v>
      </c>
      <c r="D36" s="17" t="s">
        <v>90</v>
      </c>
      <c r="E36" s="18"/>
    </row>
    <row r="37" spans="2:5" ht="19.95" customHeight="1">
      <c r="B37" s="6" t="s">
        <v>94</v>
      </c>
      <c r="C37" s="22">
        <v>4</v>
      </c>
      <c r="D37" s="14" t="s">
        <v>90</v>
      </c>
      <c r="E37" s="15"/>
    </row>
    <row r="38" spans="2:5" ht="19.95" customHeight="1">
      <c r="B38" s="8" t="s">
        <v>95</v>
      </c>
      <c r="C38" s="28">
        <v>100</v>
      </c>
      <c r="D38" s="17" t="s">
        <v>90</v>
      </c>
      <c r="E38" s="18"/>
    </row>
    <row r="39" spans="2:5" ht="19.95" customHeight="1">
      <c r="B39" s="6" t="s">
        <v>96</v>
      </c>
      <c r="C39" s="22">
        <v>300</v>
      </c>
      <c r="D39" s="14" t="s">
        <v>90</v>
      </c>
      <c r="E39" s="15"/>
    </row>
    <row r="40" spans="2:5" ht="19.95" customHeight="1">
      <c r="B40" s="8" t="s">
        <v>97</v>
      </c>
      <c r="C40" s="20">
        <v>0.6</v>
      </c>
      <c r="D40" s="17" t="s">
        <v>74</v>
      </c>
      <c r="E40" s="18" t="s">
        <v>98</v>
      </c>
    </row>
    <row r="41" spans="2:5" ht="19.95" customHeight="1">
      <c r="B41" s="68" t="s">
        <v>99</v>
      </c>
      <c r="C41" s="62"/>
      <c r="D41" s="62"/>
      <c r="E41" s="62"/>
    </row>
    <row r="42" spans="2:5" ht="19.95" customHeight="1">
      <c r="B42" s="6" t="s">
        <v>100</v>
      </c>
      <c r="C42" s="29">
        <v>0.2</v>
      </c>
      <c r="D42" s="14" t="s">
        <v>101</v>
      </c>
      <c r="E42" s="15" t="s">
        <v>102</v>
      </c>
    </row>
    <row r="43" spans="2:5" ht="19.95" customHeight="1">
      <c r="B43" s="8" t="s">
        <v>103</v>
      </c>
      <c r="C43" s="30">
        <v>0.7</v>
      </c>
      <c r="D43" s="17" t="s">
        <v>101</v>
      </c>
      <c r="E43" s="18" t="s">
        <v>104</v>
      </c>
    </row>
    <row r="44" spans="2:5" ht="19.95" customHeight="1">
      <c r="B44" s="6" t="s">
        <v>105</v>
      </c>
      <c r="C44" s="22">
        <v>100</v>
      </c>
      <c r="D44" s="14" t="s">
        <v>106</v>
      </c>
      <c r="E44" s="15" t="s">
        <v>107</v>
      </c>
    </row>
    <row r="45" spans="2:5" ht="19.95" customHeight="1">
      <c r="B45" s="8" t="s">
        <v>108</v>
      </c>
      <c r="C45" s="28">
        <v>8000</v>
      </c>
      <c r="D45" s="17" t="s">
        <v>109</v>
      </c>
      <c r="E45" s="18" t="s">
        <v>110</v>
      </c>
    </row>
    <row r="46" spans="2:5" ht="19.95" customHeight="1">
      <c r="B46" s="6" t="s">
        <v>111</v>
      </c>
      <c r="C46" s="22">
        <v>2000</v>
      </c>
      <c r="D46" s="14" t="s">
        <v>109</v>
      </c>
      <c r="E46" s="15"/>
    </row>
    <row r="47" spans="2:5" ht="19.95" customHeight="1">
      <c r="B47" s="8" t="s">
        <v>112</v>
      </c>
      <c r="C47" s="28">
        <v>3000</v>
      </c>
      <c r="D47" s="17" t="s">
        <v>109</v>
      </c>
      <c r="E47" s="18" t="s">
        <v>113</v>
      </c>
    </row>
    <row r="48" spans="2:5" ht="19.95" customHeight="1">
      <c r="B48" s="6" t="s">
        <v>114</v>
      </c>
      <c r="C48" s="22">
        <v>1000</v>
      </c>
      <c r="D48" s="14" t="s">
        <v>109</v>
      </c>
      <c r="E48" s="15"/>
    </row>
    <row r="49" spans="2:5" ht="19.95" customHeight="1">
      <c r="B49" s="8" t="s">
        <v>115</v>
      </c>
      <c r="C49" s="28">
        <v>10000</v>
      </c>
      <c r="D49" s="17" t="s">
        <v>109</v>
      </c>
      <c r="E49" s="18"/>
    </row>
    <row r="50" spans="2:5" ht="19.95" customHeight="1">
      <c r="B50" s="6" t="s">
        <v>116</v>
      </c>
      <c r="C50" s="22">
        <v>3000</v>
      </c>
      <c r="D50" s="14" t="s">
        <v>109</v>
      </c>
      <c r="E50" s="15"/>
    </row>
    <row r="51" spans="2:5" ht="19.95" customHeight="1">
      <c r="B51" s="8" t="s">
        <v>117</v>
      </c>
      <c r="C51" s="31">
        <f>ROUND((C45*C42+C46*C43)/1000000*C44,4)</f>
        <v>0.3</v>
      </c>
      <c r="D51" s="17" t="s">
        <v>43</v>
      </c>
      <c r="E51" s="18" t="s">
        <v>118</v>
      </c>
    </row>
    <row r="52" spans="2:5" ht="19.95" customHeight="1">
      <c r="B52" s="6" t="s">
        <v>119</v>
      </c>
      <c r="C52" s="32">
        <f>ROUND((C47*C42+C48*C43)/1000000*C44,4)</f>
        <v>0.13</v>
      </c>
      <c r="D52" s="14" t="s">
        <v>43</v>
      </c>
      <c r="E52" s="15"/>
    </row>
    <row r="53" spans="2:5" ht="19.95" customHeight="1">
      <c r="B53" s="8" t="s">
        <v>120</v>
      </c>
      <c r="C53" s="31">
        <f>ROUND((C49*C42+C50*C43)/1000000*C44,4)</f>
        <v>0.41</v>
      </c>
      <c r="D53" s="17" t="s">
        <v>43</v>
      </c>
      <c r="E53" s="18"/>
    </row>
    <row r="54" spans="2:5" ht="19.95" customHeight="1">
      <c r="B54" s="6" t="s">
        <v>121</v>
      </c>
      <c r="C54" s="22">
        <v>2</v>
      </c>
      <c r="D54" s="14" t="s">
        <v>87</v>
      </c>
      <c r="E54" s="15"/>
    </row>
    <row r="55" spans="2:5" ht="19.95" customHeight="1">
      <c r="B55" s="8" t="s">
        <v>122</v>
      </c>
      <c r="C55" s="28">
        <v>3</v>
      </c>
      <c r="D55" s="17" t="s">
        <v>123</v>
      </c>
      <c r="E55" s="18" t="s">
        <v>124</v>
      </c>
    </row>
    <row r="56" spans="2:5" ht="19.95" customHeight="1">
      <c r="B56" s="6" t="s">
        <v>125</v>
      </c>
      <c r="C56" s="13">
        <v>25000</v>
      </c>
      <c r="D56" s="14" t="s">
        <v>30</v>
      </c>
      <c r="E56" s="15" t="s">
        <v>126</v>
      </c>
    </row>
    <row r="57" spans="2:5" ht="19.95" customHeight="1">
      <c r="B57" s="8" t="s">
        <v>127</v>
      </c>
      <c r="C57" s="16">
        <v>60</v>
      </c>
      <c r="D57" s="17" t="s">
        <v>30</v>
      </c>
      <c r="E57" s="18" t="s">
        <v>128</v>
      </c>
    </row>
    <row r="58" spans="2:5" ht="19.95" customHeight="1">
      <c r="B58" s="68" t="s">
        <v>129</v>
      </c>
      <c r="C58" s="62"/>
      <c r="D58" s="62"/>
      <c r="E58" s="62"/>
    </row>
    <row r="59" spans="2:5" ht="19.95" customHeight="1">
      <c r="B59" s="6" t="s">
        <v>130</v>
      </c>
      <c r="C59" s="27">
        <v>30</v>
      </c>
      <c r="D59" s="14" t="s">
        <v>87</v>
      </c>
      <c r="E59" s="15" t="s">
        <v>131</v>
      </c>
    </row>
    <row r="60" spans="2:5" ht="19.95" customHeight="1">
      <c r="B60" s="8" t="s">
        <v>132</v>
      </c>
      <c r="C60" s="25">
        <v>0.15</v>
      </c>
      <c r="D60" s="17" t="s">
        <v>133</v>
      </c>
      <c r="E60" s="18" t="s">
        <v>134</v>
      </c>
    </row>
    <row r="61" spans="2:5" ht="19.95" customHeight="1">
      <c r="B61" s="6" t="s">
        <v>135</v>
      </c>
      <c r="C61" s="27">
        <v>500</v>
      </c>
      <c r="D61" s="14" t="s">
        <v>87</v>
      </c>
      <c r="E61" s="15" t="s">
        <v>136</v>
      </c>
    </row>
    <row r="62" spans="2:5" ht="19.95" customHeight="1">
      <c r="B62" s="8" t="s">
        <v>137</v>
      </c>
      <c r="C62" s="25">
        <v>0.25</v>
      </c>
      <c r="D62" s="17" t="s">
        <v>74</v>
      </c>
      <c r="E62" s="18" t="s">
        <v>138</v>
      </c>
    </row>
    <row r="63" spans="2:5" ht="19.95" customHeight="1">
      <c r="B63" s="6" t="s">
        <v>139</v>
      </c>
      <c r="C63" s="22">
        <v>5</v>
      </c>
      <c r="D63" s="14" t="s">
        <v>87</v>
      </c>
      <c r="E63" s="15" t="s">
        <v>140</v>
      </c>
    </row>
    <row r="64" spans="2:5" ht="19.95" customHeight="1">
      <c r="B64" s="8" t="s">
        <v>141</v>
      </c>
      <c r="C64" s="25">
        <v>0.05</v>
      </c>
      <c r="D64" s="17" t="s">
        <v>133</v>
      </c>
      <c r="E64" s="18" t="s">
        <v>142</v>
      </c>
    </row>
    <row r="65" spans="2:5" ht="19.95" customHeight="1">
      <c r="B65" s="68" t="s">
        <v>143</v>
      </c>
      <c r="C65" s="62"/>
      <c r="D65" s="62"/>
      <c r="E65" s="62"/>
    </row>
    <row r="66" spans="2:5" ht="19.95" customHeight="1">
      <c r="B66" s="6" t="s">
        <v>144</v>
      </c>
      <c r="C66" s="13">
        <v>2000</v>
      </c>
      <c r="D66" s="14" t="s">
        <v>43</v>
      </c>
      <c r="E66" s="15" t="s">
        <v>145</v>
      </c>
    </row>
    <row r="67" spans="2:5" ht="19.95" customHeight="1">
      <c r="B67" s="8" t="s">
        <v>146</v>
      </c>
      <c r="C67" s="16">
        <v>10000</v>
      </c>
      <c r="D67" s="17" t="s">
        <v>43</v>
      </c>
      <c r="E67" s="18" t="s">
        <v>147</v>
      </c>
    </row>
    <row r="68" spans="2:5" ht="19.95" customHeight="1">
      <c r="B68" s="6" t="s">
        <v>148</v>
      </c>
      <c r="C68" s="19">
        <v>2.8000000000000001E-2</v>
      </c>
      <c r="D68" s="14" t="s">
        <v>149</v>
      </c>
      <c r="E68" s="15" t="s">
        <v>150</v>
      </c>
    </row>
    <row r="69" spans="2:5" ht="19.95" customHeight="1">
      <c r="B69" s="8" t="s">
        <v>151</v>
      </c>
      <c r="C69" s="16">
        <v>200</v>
      </c>
      <c r="D69" s="17" t="s">
        <v>43</v>
      </c>
      <c r="E69" s="18" t="s">
        <v>152</v>
      </c>
    </row>
    <row r="70" spans="2:5" ht="19.95" customHeight="1">
      <c r="B70" s="68" t="s">
        <v>153</v>
      </c>
      <c r="C70" s="62"/>
      <c r="D70" s="62"/>
      <c r="E70" s="62"/>
    </row>
    <row r="71" spans="2:5" ht="19.95" customHeight="1">
      <c r="B71" s="6" t="s">
        <v>154</v>
      </c>
      <c r="C71" s="13">
        <v>600000</v>
      </c>
      <c r="D71" s="14" t="s">
        <v>30</v>
      </c>
      <c r="E71" s="15" t="s">
        <v>155</v>
      </c>
    </row>
    <row r="72" spans="2:5" ht="19.95" customHeight="1">
      <c r="B72" s="8" t="s">
        <v>156</v>
      </c>
      <c r="C72" s="16">
        <v>1150000</v>
      </c>
      <c r="D72" s="17" t="s">
        <v>30</v>
      </c>
      <c r="E72" s="18" t="s">
        <v>157</v>
      </c>
    </row>
    <row r="73" spans="2:5" ht="19.95" customHeight="1">
      <c r="B73" s="6" t="s">
        <v>158</v>
      </c>
      <c r="C73" s="13">
        <v>40000</v>
      </c>
      <c r="D73" s="14" t="s">
        <v>30</v>
      </c>
      <c r="E73" s="15" t="s">
        <v>159</v>
      </c>
    </row>
    <row r="75" spans="2:5">
      <c r="B75" s="69" t="s">
        <v>160</v>
      </c>
      <c r="C75" s="62"/>
      <c r="D75" s="62"/>
      <c r="E75" s="62"/>
    </row>
  </sheetData>
  <mergeCells count="9">
    <mergeCell ref="B5:E5"/>
    <mergeCell ref="B2:E2"/>
    <mergeCell ref="B32:E32"/>
    <mergeCell ref="B20:E20"/>
    <mergeCell ref="B41:E41"/>
    <mergeCell ref="B65:E65"/>
    <mergeCell ref="B75:E75"/>
    <mergeCell ref="B58:E58"/>
    <mergeCell ref="B70:E7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F30"/>
  <sheetViews>
    <sheetView showGridLines="0" workbookViewId="0"/>
  </sheetViews>
  <sheetFormatPr defaultRowHeight="14.4"/>
  <cols>
    <col min="1" max="1" width="3" customWidth="1"/>
    <col min="2" max="2" width="40" customWidth="1"/>
    <col min="3" max="3" width="17" customWidth="1"/>
    <col min="4" max="4" width="12" customWidth="1"/>
    <col min="5" max="5" width="34" customWidth="1"/>
    <col min="6" max="6" width="42" customWidth="1"/>
  </cols>
  <sheetData>
    <row r="1" spans="2:6" ht="15" customHeight="1"/>
    <row r="2" spans="2:6" ht="31.95" customHeight="1">
      <c r="B2" s="63" t="s">
        <v>161</v>
      </c>
      <c r="C2" s="62"/>
      <c r="D2" s="62"/>
      <c r="E2" s="62"/>
      <c r="F2" s="62"/>
    </row>
    <row r="3" spans="2:6" ht="7.95" customHeight="1"/>
    <row r="4" spans="2:6" ht="28.05" customHeight="1">
      <c r="B4" s="12" t="s">
        <v>162</v>
      </c>
      <c r="C4" s="12" t="s">
        <v>25</v>
      </c>
      <c r="D4" s="12" t="s">
        <v>163</v>
      </c>
      <c r="E4" s="12" t="s">
        <v>164</v>
      </c>
      <c r="F4" s="12" t="s">
        <v>165</v>
      </c>
    </row>
    <row r="5" spans="2:6" ht="24" customHeight="1">
      <c r="B5" s="68" t="s">
        <v>166</v>
      </c>
      <c r="C5" s="62"/>
      <c r="D5" s="62"/>
      <c r="E5" s="62"/>
      <c r="F5" s="62"/>
    </row>
    <row r="6" spans="2:6" ht="22.05" customHeight="1">
      <c r="B6" s="6" t="s">
        <v>167</v>
      </c>
      <c r="C6" s="33" t="s">
        <v>168</v>
      </c>
      <c r="D6" s="33" t="s">
        <v>30</v>
      </c>
      <c r="E6" s="6" t="s">
        <v>169</v>
      </c>
      <c r="F6" s="6" t="s">
        <v>170</v>
      </c>
    </row>
    <row r="7" spans="2:6" ht="22.05" customHeight="1">
      <c r="B7" s="8" t="s">
        <v>171</v>
      </c>
      <c r="C7" s="34" t="s">
        <v>172</v>
      </c>
      <c r="D7" s="34" t="s">
        <v>30</v>
      </c>
      <c r="E7" s="8" t="s">
        <v>173</v>
      </c>
      <c r="F7" s="8" t="s">
        <v>174</v>
      </c>
    </row>
    <row r="8" spans="2:6" ht="37.950000000000003" customHeight="1">
      <c r="B8" s="6" t="s">
        <v>175</v>
      </c>
      <c r="C8" s="33" t="s">
        <v>176</v>
      </c>
      <c r="D8" s="33" t="s">
        <v>30</v>
      </c>
      <c r="E8" s="6" t="s">
        <v>33</v>
      </c>
      <c r="F8" s="6" t="s">
        <v>177</v>
      </c>
    </row>
    <row r="9" spans="2:6" ht="37.950000000000003" customHeight="1">
      <c r="B9" s="8" t="s">
        <v>178</v>
      </c>
      <c r="C9" s="34" t="s">
        <v>179</v>
      </c>
      <c r="D9" s="34" t="s">
        <v>87</v>
      </c>
      <c r="E9" s="8" t="s">
        <v>180</v>
      </c>
      <c r="F9" s="8" t="s">
        <v>181</v>
      </c>
    </row>
    <row r="10" spans="2:6" ht="22.05" customHeight="1">
      <c r="B10" s="6" t="s">
        <v>182</v>
      </c>
      <c r="C10" s="33" t="s">
        <v>183</v>
      </c>
      <c r="D10" s="33" t="s">
        <v>87</v>
      </c>
      <c r="E10" s="6" t="s">
        <v>184</v>
      </c>
      <c r="F10" s="6" t="s">
        <v>185</v>
      </c>
    </row>
    <row r="11" spans="2:6" ht="37.950000000000003" customHeight="1">
      <c r="B11" s="8" t="s">
        <v>186</v>
      </c>
      <c r="C11" s="34" t="s">
        <v>187</v>
      </c>
      <c r="D11" s="34" t="s">
        <v>188</v>
      </c>
      <c r="E11" s="8" t="s">
        <v>189</v>
      </c>
      <c r="F11" s="8" t="s">
        <v>190</v>
      </c>
    </row>
    <row r="12" spans="2:6" ht="24" customHeight="1">
      <c r="B12" s="68" t="s">
        <v>191</v>
      </c>
      <c r="C12" s="62"/>
      <c r="D12" s="62"/>
      <c r="E12" s="62"/>
      <c r="F12" s="62"/>
    </row>
    <row r="13" spans="2:6" ht="37.950000000000003" customHeight="1">
      <c r="B13" s="6" t="s">
        <v>192</v>
      </c>
      <c r="C13" s="33" t="s">
        <v>193</v>
      </c>
      <c r="D13" s="33" t="s">
        <v>194</v>
      </c>
      <c r="E13" s="6" t="s">
        <v>195</v>
      </c>
      <c r="F13" s="6" t="s">
        <v>196</v>
      </c>
    </row>
    <row r="14" spans="2:6" ht="22.05" customHeight="1">
      <c r="B14" s="8" t="s">
        <v>197</v>
      </c>
      <c r="C14" s="34" t="s">
        <v>198</v>
      </c>
      <c r="D14" s="34" t="s">
        <v>43</v>
      </c>
      <c r="E14" s="8" t="s">
        <v>199</v>
      </c>
      <c r="F14" s="8" t="s">
        <v>200</v>
      </c>
    </row>
    <row r="15" spans="2:6" ht="37.950000000000003" customHeight="1">
      <c r="B15" s="6" t="s">
        <v>201</v>
      </c>
      <c r="C15" s="33" t="s">
        <v>202</v>
      </c>
      <c r="D15" s="33" t="s">
        <v>194</v>
      </c>
      <c r="E15" s="6" t="s">
        <v>203</v>
      </c>
      <c r="F15" s="6" t="s">
        <v>204</v>
      </c>
    </row>
    <row r="16" spans="2:6" ht="37.950000000000003" customHeight="1">
      <c r="B16" s="8" t="s">
        <v>205</v>
      </c>
      <c r="C16" s="34" t="s">
        <v>206</v>
      </c>
      <c r="D16" s="34" t="s">
        <v>46</v>
      </c>
      <c r="E16" s="8" t="s">
        <v>207</v>
      </c>
      <c r="F16" s="8" t="s">
        <v>208</v>
      </c>
    </row>
    <row r="17" spans="2:6" ht="22.05" customHeight="1">
      <c r="B17" s="6" t="s">
        <v>209</v>
      </c>
      <c r="C17" s="33" t="s">
        <v>210</v>
      </c>
      <c r="D17" s="33" t="s">
        <v>49</v>
      </c>
      <c r="E17" s="6" t="s">
        <v>211</v>
      </c>
      <c r="F17" s="6" t="s">
        <v>212</v>
      </c>
    </row>
    <row r="18" spans="2:6" ht="24" customHeight="1">
      <c r="B18" s="68" t="s">
        <v>213</v>
      </c>
      <c r="C18" s="62"/>
      <c r="D18" s="62"/>
      <c r="E18" s="62"/>
      <c r="F18" s="62"/>
    </row>
    <row r="19" spans="2:6" ht="37.950000000000003" customHeight="1">
      <c r="B19" s="6" t="s">
        <v>214</v>
      </c>
      <c r="C19" s="33" t="s">
        <v>215</v>
      </c>
      <c r="D19" s="33" t="s">
        <v>43</v>
      </c>
      <c r="E19" s="6" t="s">
        <v>216</v>
      </c>
      <c r="F19" s="6" t="s">
        <v>217</v>
      </c>
    </row>
    <row r="20" spans="2:6" ht="37.950000000000003" customHeight="1">
      <c r="B20" s="8" t="s">
        <v>218</v>
      </c>
      <c r="C20" s="34" t="s">
        <v>219</v>
      </c>
      <c r="D20" s="34" t="s">
        <v>220</v>
      </c>
      <c r="E20" s="8" t="s">
        <v>221</v>
      </c>
      <c r="F20" s="8" t="s">
        <v>222</v>
      </c>
    </row>
    <row r="21" spans="2:6" ht="37.950000000000003" customHeight="1">
      <c r="B21" s="6" t="s">
        <v>223</v>
      </c>
      <c r="C21" s="33" t="s">
        <v>224</v>
      </c>
      <c r="D21" s="33" t="s">
        <v>43</v>
      </c>
      <c r="E21" s="6" t="s">
        <v>225</v>
      </c>
      <c r="F21" s="6" t="s">
        <v>226</v>
      </c>
    </row>
    <row r="22" spans="2:6" ht="37.950000000000003" customHeight="1">
      <c r="B22" s="8" t="s">
        <v>227</v>
      </c>
      <c r="C22" s="34" t="s">
        <v>228</v>
      </c>
      <c r="D22" s="34" t="s">
        <v>229</v>
      </c>
      <c r="E22" s="8" t="s">
        <v>59</v>
      </c>
      <c r="F22" s="8" t="s">
        <v>230</v>
      </c>
    </row>
    <row r="23" spans="2:6" ht="37.950000000000003" customHeight="1">
      <c r="B23" s="6" t="s">
        <v>231</v>
      </c>
      <c r="C23" s="33" t="s">
        <v>232</v>
      </c>
      <c r="D23" s="33" t="s">
        <v>43</v>
      </c>
      <c r="E23" s="6" t="s">
        <v>233</v>
      </c>
      <c r="F23" s="6" t="s">
        <v>234</v>
      </c>
    </row>
    <row r="24" spans="2:6" ht="37.950000000000003" customHeight="1">
      <c r="B24" s="8" t="s">
        <v>235</v>
      </c>
      <c r="C24" s="34" t="s">
        <v>236</v>
      </c>
      <c r="D24" s="34" t="s">
        <v>43</v>
      </c>
      <c r="E24" s="8" t="s">
        <v>59</v>
      </c>
      <c r="F24" s="8" t="s">
        <v>237</v>
      </c>
    </row>
    <row r="25" spans="2:6" ht="37.950000000000003" customHeight="1">
      <c r="B25" s="6" t="s">
        <v>238</v>
      </c>
      <c r="C25" s="33" t="s">
        <v>239</v>
      </c>
      <c r="D25" s="33" t="s">
        <v>43</v>
      </c>
      <c r="E25" s="6" t="s">
        <v>240</v>
      </c>
      <c r="F25" s="6" t="s">
        <v>241</v>
      </c>
    </row>
    <row r="26" spans="2:6" ht="24" customHeight="1">
      <c r="B26" s="68" t="s">
        <v>242</v>
      </c>
      <c r="C26" s="62"/>
      <c r="D26" s="62"/>
      <c r="E26" s="62"/>
      <c r="F26" s="62"/>
    </row>
    <row r="27" spans="2:6" ht="22.05" customHeight="1">
      <c r="B27" s="6" t="s">
        <v>243</v>
      </c>
      <c r="C27" s="33" t="s">
        <v>244</v>
      </c>
      <c r="D27" s="33" t="s">
        <v>43</v>
      </c>
      <c r="E27" s="6" t="s">
        <v>245</v>
      </c>
      <c r="F27" s="6" t="s">
        <v>246</v>
      </c>
    </row>
    <row r="28" spans="2:6" ht="22.05" customHeight="1">
      <c r="B28" s="8" t="s">
        <v>247</v>
      </c>
      <c r="C28" s="34" t="s">
        <v>248</v>
      </c>
      <c r="D28" s="34" t="s">
        <v>249</v>
      </c>
      <c r="E28" s="8" t="s">
        <v>250</v>
      </c>
      <c r="F28" s="8" t="s">
        <v>251</v>
      </c>
    </row>
    <row r="29" spans="2:6" ht="24" customHeight="1">
      <c r="B29" s="68" t="s">
        <v>252</v>
      </c>
      <c r="C29" s="62"/>
      <c r="D29" s="62"/>
      <c r="E29" s="62"/>
      <c r="F29" s="62"/>
    </row>
    <row r="30" spans="2:6" ht="37.950000000000003" customHeight="1">
      <c r="B30" s="6" t="s">
        <v>253</v>
      </c>
      <c r="C30" s="33" t="s">
        <v>254</v>
      </c>
      <c r="D30" s="33" t="s">
        <v>101</v>
      </c>
      <c r="E30" s="6" t="s">
        <v>255</v>
      </c>
      <c r="F30" s="6" t="s">
        <v>256</v>
      </c>
    </row>
  </sheetData>
  <mergeCells count="6">
    <mergeCell ref="B12:F12"/>
    <mergeCell ref="B29:F29"/>
    <mergeCell ref="B2:F2"/>
    <mergeCell ref="B5:F5"/>
    <mergeCell ref="B26:F26"/>
    <mergeCell ref="B18:F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F12"/>
  <sheetViews>
    <sheetView showGridLines="0" workbookViewId="0"/>
  </sheetViews>
  <sheetFormatPr defaultRowHeight="14.4"/>
  <cols>
    <col min="1" max="1" width="3" customWidth="1"/>
    <col min="2" max="2" width="28" customWidth="1"/>
    <col min="3" max="3" width="12" customWidth="1"/>
    <col min="4" max="4" width="46" customWidth="1"/>
    <col min="5" max="5" width="26" customWidth="1"/>
    <col min="6" max="6" width="40" customWidth="1"/>
  </cols>
  <sheetData>
    <row r="1" spans="2:6" ht="15" customHeight="1"/>
    <row r="2" spans="2:6" ht="31.95" customHeight="1">
      <c r="B2" s="63" t="s">
        <v>257</v>
      </c>
      <c r="C2" s="62"/>
      <c r="D2" s="62"/>
      <c r="E2" s="62"/>
      <c r="F2" s="62"/>
    </row>
    <row r="3" spans="2:6" ht="7.95" customHeight="1"/>
    <row r="4" spans="2:6" ht="28.05" customHeight="1">
      <c r="B4" s="12" t="s">
        <v>258</v>
      </c>
      <c r="C4" s="12" t="s">
        <v>259</v>
      </c>
      <c r="D4" s="12" t="s">
        <v>260</v>
      </c>
      <c r="E4" s="12" t="s">
        <v>261</v>
      </c>
      <c r="F4" s="12" t="s">
        <v>262</v>
      </c>
    </row>
    <row r="5" spans="2:6" ht="54" customHeight="1">
      <c r="B5" s="6" t="s">
        <v>263</v>
      </c>
      <c r="C5" s="24">
        <f>0</f>
        <v>0</v>
      </c>
      <c r="D5" s="6" t="s">
        <v>264</v>
      </c>
      <c r="E5" s="6" t="s">
        <v>265</v>
      </c>
      <c r="F5" s="6" t="s">
        <v>266</v>
      </c>
    </row>
    <row r="6" spans="2:6" ht="37.950000000000003" customHeight="1">
      <c r="B6" s="8" t="s">
        <v>267</v>
      </c>
      <c r="C6" s="35">
        <f>VAC_FIRST</f>
        <v>199</v>
      </c>
      <c r="D6" s="8" t="s">
        <v>268</v>
      </c>
      <c r="E6" s="8" t="s">
        <v>269</v>
      </c>
      <c r="F6" s="8" t="s">
        <v>270</v>
      </c>
    </row>
    <row r="7" spans="2:6" ht="37.950000000000003" customHeight="1">
      <c r="B7" s="6" t="s">
        <v>271</v>
      </c>
      <c r="C7" s="24">
        <f>SUB_START</f>
        <v>9900</v>
      </c>
      <c r="D7" s="6" t="s">
        <v>272</v>
      </c>
      <c r="E7" s="6" t="s">
        <v>273</v>
      </c>
      <c r="F7" s="6" t="s">
        <v>274</v>
      </c>
    </row>
    <row r="8" spans="2:6" ht="54" customHeight="1">
      <c r="B8" s="8" t="s">
        <v>275</v>
      </c>
      <c r="C8" s="35">
        <f>SUB_BIZ</f>
        <v>29900</v>
      </c>
      <c r="D8" s="8" t="s">
        <v>276</v>
      </c>
      <c r="E8" s="8" t="s">
        <v>273</v>
      </c>
      <c r="F8" s="8" t="s">
        <v>277</v>
      </c>
    </row>
    <row r="9" spans="2:6" ht="37.950000000000003" customHeight="1">
      <c r="B9" s="6" t="s">
        <v>278</v>
      </c>
      <c r="C9" s="24">
        <f>INV_PRICE</f>
        <v>49</v>
      </c>
      <c r="D9" s="6" t="s">
        <v>279</v>
      </c>
      <c r="E9" s="6" t="s">
        <v>194</v>
      </c>
      <c r="F9" s="6" t="s">
        <v>280</v>
      </c>
    </row>
    <row r="10" spans="2:6" ht="37.950000000000003" customHeight="1">
      <c r="B10" s="8" t="s">
        <v>71</v>
      </c>
      <c r="C10" s="35">
        <f>FINE</f>
        <v>199</v>
      </c>
      <c r="D10" s="8" t="s">
        <v>281</v>
      </c>
      <c r="E10" s="8" t="s">
        <v>282</v>
      </c>
      <c r="F10" s="8" t="s">
        <v>283</v>
      </c>
    </row>
    <row r="11" spans="2:6" ht="22.05" customHeight="1"/>
    <row r="12" spans="2:6" ht="22.05" customHeight="1">
      <c r="B12" s="69" t="s">
        <v>284</v>
      </c>
      <c r="C12" s="62"/>
      <c r="D12" s="62"/>
      <c r="E12" s="62"/>
      <c r="F12" s="62"/>
    </row>
  </sheetData>
  <mergeCells count="2">
    <mergeCell ref="B2:F2"/>
    <mergeCell ref="B12:F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K16"/>
  <sheetViews>
    <sheetView showGridLines="0" workbookViewId="0"/>
  </sheetViews>
  <sheetFormatPr defaultRowHeight="14.4"/>
  <cols>
    <col min="1" max="1" width="3" customWidth="1"/>
    <col min="2" max="2" width="34" customWidth="1"/>
    <col min="3" max="3" width="15" customWidth="1"/>
    <col min="4" max="4" width="9" customWidth="1"/>
    <col min="5" max="5" width="15" customWidth="1"/>
    <col min="6" max="6" width="14" customWidth="1"/>
    <col min="7" max="7" width="12" customWidth="1"/>
    <col min="8" max="8" width="46" customWidth="1"/>
    <col min="10" max="10" width="20" customWidth="1"/>
    <col min="11" max="11" width="12" customWidth="1"/>
  </cols>
  <sheetData>
    <row r="1" spans="2:11" ht="15" customHeight="1"/>
    <row r="2" spans="2:11" ht="31.95" customHeight="1">
      <c r="B2" s="63" t="s">
        <v>285</v>
      </c>
      <c r="C2" s="62"/>
      <c r="D2" s="62"/>
      <c r="E2" s="62"/>
      <c r="F2" s="62"/>
      <c r="G2" s="62"/>
      <c r="H2" s="62"/>
    </row>
    <row r="3" spans="2:11" ht="7.95" customHeight="1"/>
    <row r="4" spans="2:11" ht="54" customHeight="1">
      <c r="B4" s="12" t="s">
        <v>286</v>
      </c>
      <c r="C4" s="12" t="s">
        <v>287</v>
      </c>
      <c r="D4" s="12" t="s">
        <v>288</v>
      </c>
      <c r="E4" s="12" t="s">
        <v>289</v>
      </c>
      <c r="F4" s="12" t="s">
        <v>290</v>
      </c>
      <c r="G4" s="12" t="s">
        <v>291</v>
      </c>
      <c r="H4" s="12" t="s">
        <v>165</v>
      </c>
      <c r="J4" s="10" t="s">
        <v>292</v>
      </c>
      <c r="K4" s="10" t="s">
        <v>293</v>
      </c>
    </row>
    <row r="5" spans="2:11" ht="37.950000000000003" customHeight="1">
      <c r="B5" s="6" t="s">
        <v>294</v>
      </c>
      <c r="C5" s="24">
        <f>VAC_FIRST+INV_PER_HIRE*INV_PRICE</f>
        <v>1081</v>
      </c>
      <c r="D5" s="36">
        <f>HR_HRS_COMIT</f>
        <v>3</v>
      </c>
      <c r="E5" s="24">
        <f t="shared" ref="E5:E11" si="0">D5*HR_RATE</f>
        <v>3000</v>
      </c>
      <c r="F5" s="24">
        <f t="shared" ref="F5:F11" si="1">C5+E5</f>
        <v>4081</v>
      </c>
      <c r="G5" s="37">
        <v>0.75</v>
      </c>
      <c r="H5" s="15" t="s">
        <v>295</v>
      </c>
      <c r="J5" s="10" t="s">
        <v>296</v>
      </c>
      <c r="K5" s="11">
        <v>4081</v>
      </c>
    </row>
    <row r="6" spans="2:11" ht="37.950000000000003" customHeight="1">
      <c r="B6" s="8" t="s">
        <v>297</v>
      </c>
      <c r="C6" s="35">
        <f>SUB_START/2</f>
        <v>4950</v>
      </c>
      <c r="D6" s="38">
        <f>HR_HRS_COMIT</f>
        <v>3</v>
      </c>
      <c r="E6" s="35">
        <f t="shared" si="0"/>
        <v>3000</v>
      </c>
      <c r="F6" s="35">
        <f t="shared" si="1"/>
        <v>7950</v>
      </c>
      <c r="G6" s="21">
        <v>0.75</v>
      </c>
      <c r="H6" s="18" t="s">
        <v>298</v>
      </c>
      <c r="J6" s="10" t="s">
        <v>299</v>
      </c>
      <c r="K6" s="11">
        <v>7950</v>
      </c>
    </row>
    <row r="7" spans="2:11" ht="37.950000000000003" customHeight="1">
      <c r="B7" s="6" t="s">
        <v>300</v>
      </c>
      <c r="C7" s="24">
        <f>2*HH_VAC+HH_DB</f>
        <v>23680</v>
      </c>
      <c r="D7" s="36">
        <f>HR_HRS</f>
        <v>80</v>
      </c>
      <c r="E7" s="24">
        <f t="shared" si="0"/>
        <v>80000</v>
      </c>
      <c r="F7" s="24">
        <f t="shared" si="1"/>
        <v>103680</v>
      </c>
      <c r="G7" s="39">
        <f>TTH_MKT</f>
        <v>1.75</v>
      </c>
      <c r="H7" s="15" t="s">
        <v>301</v>
      </c>
      <c r="J7" s="10" t="s">
        <v>302</v>
      </c>
      <c r="K7" s="11">
        <v>103680</v>
      </c>
    </row>
    <row r="8" spans="2:11" ht="22.05" customHeight="1">
      <c r="B8" s="8" t="s">
        <v>303</v>
      </c>
      <c r="C8" s="35">
        <f>HABR_VAC+1220</f>
        <v>5246</v>
      </c>
      <c r="D8" s="28">
        <v>70</v>
      </c>
      <c r="E8" s="35">
        <f t="shared" si="0"/>
        <v>70000</v>
      </c>
      <c r="F8" s="35">
        <f t="shared" si="1"/>
        <v>75246</v>
      </c>
      <c r="G8" s="40">
        <f>TTH_MKT</f>
        <v>1.75</v>
      </c>
      <c r="H8" s="18" t="s">
        <v>304</v>
      </c>
      <c r="J8" s="10" t="s">
        <v>303</v>
      </c>
      <c r="K8" s="11">
        <v>75246</v>
      </c>
    </row>
    <row r="9" spans="2:11" ht="22.05" customHeight="1">
      <c r="B9" s="6" t="s">
        <v>305</v>
      </c>
      <c r="C9" s="24">
        <f>AGENCY_FEE*SAL_MEDIAN*12</f>
        <v>438480</v>
      </c>
      <c r="D9" s="22">
        <v>10</v>
      </c>
      <c r="E9" s="24">
        <f t="shared" si="0"/>
        <v>10000</v>
      </c>
      <c r="F9" s="24">
        <f t="shared" si="1"/>
        <v>448480</v>
      </c>
      <c r="G9" s="37">
        <v>1.5</v>
      </c>
      <c r="H9" s="15" t="s">
        <v>306</v>
      </c>
      <c r="J9" s="10" t="s">
        <v>307</v>
      </c>
      <c r="K9" s="11">
        <v>448480</v>
      </c>
    </row>
    <row r="10" spans="2:11" ht="37.950000000000003" customHeight="1">
      <c r="B10" s="8" t="s">
        <v>308</v>
      </c>
      <c r="C10" s="35">
        <f>CPH_MKT*SAL_MEDIAN*12</f>
        <v>548100</v>
      </c>
      <c r="D10" s="28">
        <v>0</v>
      </c>
      <c r="E10" s="35">
        <f t="shared" si="0"/>
        <v>0</v>
      </c>
      <c r="F10" s="35">
        <f t="shared" si="1"/>
        <v>548100</v>
      </c>
      <c r="G10" s="40">
        <f>TTH_MKT</f>
        <v>1.75</v>
      </c>
      <c r="H10" s="18" t="s">
        <v>309</v>
      </c>
      <c r="J10" s="10" t="s">
        <v>310</v>
      </c>
      <c r="K10" s="11">
        <v>548100</v>
      </c>
    </row>
    <row r="11" spans="2:11" ht="22.05" customHeight="1">
      <c r="B11" s="6" t="s">
        <v>311</v>
      </c>
      <c r="C11" s="24">
        <f>169000*TTH_MKT</f>
        <v>295750</v>
      </c>
      <c r="D11" s="22">
        <v>0</v>
      </c>
      <c r="E11" s="24">
        <f t="shared" si="0"/>
        <v>0</v>
      </c>
      <c r="F11" s="24">
        <f t="shared" si="1"/>
        <v>295750</v>
      </c>
      <c r="G11" s="39">
        <f>TTH_MKT</f>
        <v>1.75</v>
      </c>
      <c r="H11" s="15" t="s">
        <v>312</v>
      </c>
      <c r="J11" s="10" t="s">
        <v>311</v>
      </c>
      <c r="K11" s="11">
        <v>295750</v>
      </c>
    </row>
    <row r="12" spans="2:11" ht="22.05" customHeight="1"/>
    <row r="13" spans="2:11" ht="22.05" customHeight="1">
      <c r="B13" s="41" t="s">
        <v>313</v>
      </c>
      <c r="C13" s="7"/>
      <c r="D13" s="7"/>
      <c r="E13" s="7"/>
      <c r="F13" s="24">
        <f>F9-F5</f>
        <v>444399</v>
      </c>
      <c r="G13" s="26">
        <f>1-F5/F9</f>
        <v>0.99090037459864433</v>
      </c>
      <c r="H13" s="7"/>
    </row>
    <row r="14" spans="2:11" ht="22.05" customHeight="1">
      <c r="B14" s="42" t="s">
        <v>314</v>
      </c>
      <c r="C14" s="9"/>
      <c r="D14" s="9"/>
      <c r="E14" s="9"/>
      <c r="F14" s="35">
        <f>F10-F5</f>
        <v>544019</v>
      </c>
      <c r="G14" s="43">
        <f>1-F5/F10</f>
        <v>0.99255427841634736</v>
      </c>
      <c r="H14" s="9"/>
    </row>
    <row r="15" spans="2:11" ht="22.05" customHeight="1"/>
    <row r="16" spans="2:11" ht="22.05" customHeight="1">
      <c r="B16" s="69" t="s">
        <v>315</v>
      </c>
      <c r="C16" s="62"/>
      <c r="D16" s="62"/>
      <c r="E16" s="62"/>
      <c r="F16" s="62"/>
      <c r="G16" s="62"/>
      <c r="H16" s="62"/>
    </row>
  </sheetData>
  <mergeCells count="2">
    <mergeCell ref="B16:H16"/>
    <mergeCell ref="B2:H2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D21"/>
  <sheetViews>
    <sheetView showGridLines="0" workbookViewId="0"/>
  </sheetViews>
  <sheetFormatPr defaultRowHeight="14.4"/>
  <cols>
    <col min="1" max="1" width="3" customWidth="1"/>
    <col min="2" max="2" width="40" customWidth="1"/>
    <col min="3" max="3" width="16" customWidth="1"/>
    <col min="4" max="4" width="58" customWidth="1"/>
  </cols>
  <sheetData>
    <row r="1" spans="2:4" ht="15" customHeight="1"/>
    <row r="2" spans="2:4" ht="31.95" customHeight="1">
      <c r="B2" s="63" t="s">
        <v>316</v>
      </c>
      <c r="C2" s="62"/>
      <c r="D2" s="62"/>
    </row>
    <row r="3" spans="2:4" ht="7.95" customHeight="1"/>
    <row r="4" spans="2:4" ht="24" customHeight="1">
      <c r="B4" s="68" t="s">
        <v>317</v>
      </c>
      <c r="C4" s="62"/>
      <c r="D4" s="62"/>
    </row>
    <row r="5" spans="2:4">
      <c r="B5" s="6" t="s">
        <v>318</v>
      </c>
      <c r="C5" s="64" t="s">
        <v>319</v>
      </c>
      <c r="D5" s="65"/>
    </row>
    <row r="6" spans="2:4">
      <c r="B6" s="8" t="s">
        <v>260</v>
      </c>
      <c r="C6" s="66" t="s">
        <v>320</v>
      </c>
      <c r="D6" s="67"/>
    </row>
    <row r="7" spans="2:4">
      <c r="B7" s="6" t="s">
        <v>321</v>
      </c>
      <c r="C7" s="64" t="s">
        <v>322</v>
      </c>
      <c r="D7" s="65"/>
    </row>
    <row r="8" spans="2:4">
      <c r="B8" s="8" t="s">
        <v>323</v>
      </c>
      <c r="C8" s="66" t="s">
        <v>324</v>
      </c>
      <c r="D8" s="67"/>
    </row>
    <row r="9" spans="2:4">
      <c r="B9" s="6" t="s">
        <v>325</v>
      </c>
      <c r="C9" s="64" t="s">
        <v>326</v>
      </c>
      <c r="D9" s="65"/>
    </row>
    <row r="10" spans="2:4">
      <c r="B10" s="8" t="s">
        <v>327</v>
      </c>
      <c r="C10" s="66" t="s">
        <v>328</v>
      </c>
      <c r="D10" s="67"/>
    </row>
    <row r="12" spans="2:4" ht="24" customHeight="1">
      <c r="B12" s="68" t="s">
        <v>329</v>
      </c>
      <c r="C12" s="62"/>
      <c r="D12" s="62"/>
    </row>
    <row r="13" spans="2:4" ht="28.05" customHeight="1">
      <c r="B13" s="12" t="s">
        <v>162</v>
      </c>
      <c r="C13" s="12" t="s">
        <v>25</v>
      </c>
      <c r="D13" s="12" t="s">
        <v>330</v>
      </c>
    </row>
    <row r="14" spans="2:4" ht="37.950000000000003" customHeight="1">
      <c r="B14" s="6" t="s">
        <v>331</v>
      </c>
      <c r="C14" s="32">
        <f>(LLM_VAC+10*LLM_INV+2*LLM_CHAT)*LLM_BUF+SUPPORT_TRIAL+INFRA_PER_EMP</f>
        <v>267.26</v>
      </c>
      <c r="D14" s="15" t="s">
        <v>332</v>
      </c>
    </row>
    <row r="15" spans="2:4" ht="37.950000000000003" customHeight="1">
      <c r="B15" s="8" t="s">
        <v>333</v>
      </c>
      <c r="C15" s="35">
        <f>HABR_VAC+10*0.5*HR_RATE</f>
        <v>9026</v>
      </c>
      <c r="D15" s="18" t="s">
        <v>334</v>
      </c>
    </row>
    <row r="16" spans="2:4" ht="37.950000000000003" customHeight="1">
      <c r="B16" s="6" t="s">
        <v>335</v>
      </c>
      <c r="C16" s="24">
        <f>HH_DB</f>
        <v>22080</v>
      </c>
      <c r="D16" s="15" t="s">
        <v>336</v>
      </c>
    </row>
    <row r="17" spans="2:4" ht="22.05" customHeight="1">
      <c r="B17" s="8" t="s">
        <v>137</v>
      </c>
      <c r="C17" s="43">
        <f>TRIAL_CONV</f>
        <v>0.25</v>
      </c>
      <c r="D17" s="18" t="s">
        <v>138</v>
      </c>
    </row>
    <row r="18" spans="2:4" ht="22.05" customHeight="1">
      <c r="B18" s="6" t="s">
        <v>337</v>
      </c>
      <c r="C18" s="24">
        <f>(COST_TRIAL_MKT+(LLM_VAC+10*LLM_INV+2*LLM_CHAT)*LLM_BUF+SUPPORT_TRIAL+INFRA_PER_EMP)/TRIAL_CONV</f>
        <v>9069.0400000000009</v>
      </c>
      <c r="D18" s="15" t="s">
        <v>338</v>
      </c>
    </row>
    <row r="19" spans="2:4" ht="22.05" customHeight="1">
      <c r="B19" s="8" t="s">
        <v>339</v>
      </c>
      <c r="C19" s="44">
        <f>'Юнит-экономика'!C14</f>
        <v>102661.08672000001</v>
      </c>
      <c r="D19" s="18" t="s">
        <v>340</v>
      </c>
    </row>
    <row r="20" spans="2:4" ht="22.05" customHeight="1">
      <c r="B20" s="6" t="s">
        <v>341</v>
      </c>
      <c r="C20" s="45">
        <f>'Юнит-экономика'!C14/((COST_TRIAL_MKT+(LLM_VAC+10*LLM_INV+2*LLM_CHAT)*LLM_BUF+SUPPORT_TRIAL+INFRA_PER_EMP)/TRIAL_CONV)</f>
        <v>11.319950812875453</v>
      </c>
      <c r="D20" s="15" t="s">
        <v>342</v>
      </c>
    </row>
    <row r="21" spans="2:4" ht="22.05" customHeight="1">
      <c r="B21" s="8" t="s">
        <v>343</v>
      </c>
      <c r="C21" s="35">
        <f>(COST_TRIAL_MKT+(LLM_VAC+10*LLM_INV+2*LLM_CHAT)*LLM_BUF+SUPPORT_TRIAL+INFRA_PER_EMP)/TRIAL_CONV</f>
        <v>9069.0400000000009</v>
      </c>
      <c r="D21" s="18" t="s">
        <v>344</v>
      </c>
    </row>
  </sheetData>
  <mergeCells count="9">
    <mergeCell ref="B4:D4"/>
    <mergeCell ref="C9:D9"/>
    <mergeCell ref="B12:D12"/>
    <mergeCell ref="B2:D2"/>
    <mergeCell ref="C6:D6"/>
    <mergeCell ref="C7:D7"/>
    <mergeCell ref="C10:D10"/>
    <mergeCell ref="C8:D8"/>
    <mergeCell ref="C5:D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AA47"/>
  <sheetViews>
    <sheetView showGridLines="0" workbookViewId="0"/>
  </sheetViews>
  <sheetFormatPr defaultRowHeight="14.4"/>
  <cols>
    <col min="1" max="1" width="3" customWidth="1"/>
    <col min="2" max="2" width="30" customWidth="1"/>
    <col min="3" max="26" width="12" customWidth="1"/>
    <col min="27" max="27" width="15" customWidth="1"/>
  </cols>
  <sheetData>
    <row r="1" spans="2:27" ht="15" customHeight="1"/>
    <row r="2" spans="2:27" ht="31.95" customHeight="1">
      <c r="B2" s="63" t="s">
        <v>345</v>
      </c>
      <c r="C2" s="62"/>
      <c r="D2" s="62"/>
      <c r="E2" s="62"/>
      <c r="F2" s="62"/>
      <c r="G2" s="62"/>
      <c r="H2" s="62"/>
      <c r="I2" s="62"/>
      <c r="J2" s="62"/>
      <c r="K2" s="62"/>
      <c r="L2" s="62"/>
    </row>
    <row r="3" spans="2:27" ht="7.95" customHeight="1"/>
    <row r="4" spans="2:27" ht="28.05" customHeight="1">
      <c r="B4" s="12" t="s">
        <v>346</v>
      </c>
      <c r="C4" s="46">
        <v>1</v>
      </c>
      <c r="D4" s="46">
        <v>2</v>
      </c>
      <c r="E4" s="46">
        <v>3</v>
      </c>
      <c r="F4" s="46">
        <v>4</v>
      </c>
      <c r="G4" s="46">
        <v>5</v>
      </c>
      <c r="H4" s="46">
        <v>6</v>
      </c>
      <c r="I4" s="46">
        <v>7</v>
      </c>
      <c r="J4" s="46">
        <v>8</v>
      </c>
      <c r="K4" s="46">
        <v>9</v>
      </c>
      <c r="L4" s="46">
        <v>10</v>
      </c>
      <c r="M4" s="46">
        <v>11</v>
      </c>
      <c r="N4" s="46">
        <v>12</v>
      </c>
      <c r="O4" s="46">
        <v>13</v>
      </c>
      <c r="P4" s="46">
        <v>14</v>
      </c>
      <c r="Q4" s="46">
        <v>15</v>
      </c>
      <c r="R4" s="46">
        <v>16</v>
      </c>
      <c r="S4" s="46">
        <v>17</v>
      </c>
      <c r="T4" s="46">
        <v>18</v>
      </c>
      <c r="U4" s="46">
        <v>19</v>
      </c>
      <c r="V4" s="46">
        <v>20</v>
      </c>
      <c r="W4" s="46">
        <v>21</v>
      </c>
      <c r="X4" s="46">
        <v>22</v>
      </c>
      <c r="Y4" s="46">
        <v>23</v>
      </c>
      <c r="Z4" s="46">
        <v>24</v>
      </c>
      <c r="AA4" s="12" t="s">
        <v>347</v>
      </c>
    </row>
    <row r="5" spans="2:27" ht="19.95" customHeight="1">
      <c r="B5" s="6" t="s">
        <v>348</v>
      </c>
      <c r="C5" s="36">
        <f>TRIALS_M1</f>
        <v>30</v>
      </c>
      <c r="D5" s="36">
        <f t="shared" ref="D5:Z5" si="0">MIN(TRIALS_M1*(1+TRIAL_GR)^(D$4-1),TRIAL_CAP)</f>
        <v>34.5</v>
      </c>
      <c r="E5" s="36">
        <f t="shared" si="0"/>
        <v>39.674999999999997</v>
      </c>
      <c r="F5" s="36">
        <f t="shared" si="0"/>
        <v>45.626249999999985</v>
      </c>
      <c r="G5" s="36">
        <f t="shared" si="0"/>
        <v>52.47018749999998</v>
      </c>
      <c r="H5" s="36">
        <f t="shared" si="0"/>
        <v>60.34071562499998</v>
      </c>
      <c r="I5" s="36">
        <f t="shared" si="0"/>
        <v>69.391822968749977</v>
      </c>
      <c r="J5" s="36">
        <f t="shared" si="0"/>
        <v>79.800596414062454</v>
      </c>
      <c r="K5" s="36">
        <f t="shared" si="0"/>
        <v>91.770685876171811</v>
      </c>
      <c r="L5" s="36">
        <f t="shared" si="0"/>
        <v>105.53628875759757</v>
      </c>
      <c r="M5" s="36">
        <f t="shared" si="0"/>
        <v>121.36673207123719</v>
      </c>
      <c r="N5" s="36">
        <f t="shared" si="0"/>
        <v>139.57174188192278</v>
      </c>
      <c r="O5" s="36">
        <f t="shared" si="0"/>
        <v>160.50750316421116</v>
      </c>
      <c r="P5" s="36">
        <f t="shared" si="0"/>
        <v>184.58362863884284</v>
      </c>
      <c r="Q5" s="36">
        <f t="shared" si="0"/>
        <v>212.27117293466927</v>
      </c>
      <c r="R5" s="36">
        <f t="shared" si="0"/>
        <v>244.11184887486959</v>
      </c>
      <c r="S5" s="36">
        <f t="shared" si="0"/>
        <v>280.72862620609999</v>
      </c>
      <c r="T5" s="36">
        <f t="shared" si="0"/>
        <v>322.83792013701498</v>
      </c>
      <c r="U5" s="36">
        <f t="shared" si="0"/>
        <v>371.26360815756715</v>
      </c>
      <c r="V5" s="36">
        <f t="shared" si="0"/>
        <v>426.95314938120219</v>
      </c>
      <c r="W5" s="36">
        <f t="shared" si="0"/>
        <v>490.99612178838248</v>
      </c>
      <c r="X5" s="36">
        <f t="shared" si="0"/>
        <v>500</v>
      </c>
      <c r="Y5" s="36">
        <f t="shared" si="0"/>
        <v>500</v>
      </c>
      <c r="Z5" s="36">
        <f t="shared" si="0"/>
        <v>500</v>
      </c>
      <c r="AA5" s="36">
        <f>SUM(C5:Z5)</f>
        <v>5064.3036003776015</v>
      </c>
    </row>
    <row r="6" spans="2:27" ht="19.95" customHeight="1">
      <c r="B6" s="8" t="s">
        <v>349</v>
      </c>
      <c r="C6" s="38">
        <f t="shared" ref="C6:Z6" si="1">C5*TRIAL_CONV+DIRECT_NEW</f>
        <v>12.5</v>
      </c>
      <c r="D6" s="38">
        <f t="shared" si="1"/>
        <v>13.625</v>
      </c>
      <c r="E6" s="38">
        <f t="shared" si="1"/>
        <v>14.918749999999999</v>
      </c>
      <c r="F6" s="38">
        <f t="shared" si="1"/>
        <v>16.406562499999996</v>
      </c>
      <c r="G6" s="38">
        <f t="shared" si="1"/>
        <v>18.117546874999995</v>
      </c>
      <c r="H6" s="38">
        <f t="shared" si="1"/>
        <v>20.085178906249993</v>
      </c>
      <c r="I6" s="38">
        <f t="shared" si="1"/>
        <v>22.347955742187494</v>
      </c>
      <c r="J6" s="38">
        <f t="shared" si="1"/>
        <v>24.950149103515614</v>
      </c>
      <c r="K6" s="38">
        <f t="shared" si="1"/>
        <v>27.942671469042953</v>
      </c>
      <c r="L6" s="38">
        <f t="shared" si="1"/>
        <v>31.384072189399394</v>
      </c>
      <c r="M6" s="38">
        <f t="shared" si="1"/>
        <v>35.341683017809302</v>
      </c>
      <c r="N6" s="38">
        <f t="shared" si="1"/>
        <v>39.892935470480694</v>
      </c>
      <c r="O6" s="38">
        <f t="shared" si="1"/>
        <v>45.12687579105279</v>
      </c>
      <c r="P6" s="38">
        <f t="shared" si="1"/>
        <v>51.14590715971071</v>
      </c>
      <c r="Q6" s="38">
        <f t="shared" si="1"/>
        <v>58.067793233667317</v>
      </c>
      <c r="R6" s="38">
        <f t="shared" si="1"/>
        <v>66.027962218717391</v>
      </c>
      <c r="S6" s="38">
        <f t="shared" si="1"/>
        <v>75.182156551524997</v>
      </c>
      <c r="T6" s="38">
        <f t="shared" si="1"/>
        <v>85.709480034253744</v>
      </c>
      <c r="U6" s="38">
        <f t="shared" si="1"/>
        <v>97.815902039391787</v>
      </c>
      <c r="V6" s="38">
        <f t="shared" si="1"/>
        <v>111.73828734530055</v>
      </c>
      <c r="W6" s="38">
        <f t="shared" si="1"/>
        <v>127.74903044709562</v>
      </c>
      <c r="X6" s="38">
        <f t="shared" si="1"/>
        <v>130</v>
      </c>
      <c r="Y6" s="38">
        <f t="shared" si="1"/>
        <v>130</v>
      </c>
      <c r="Z6" s="38">
        <f t="shared" si="1"/>
        <v>130</v>
      </c>
      <c r="AA6" s="38">
        <f>SUM(C6:Z6)</f>
        <v>1386.0759000944004</v>
      </c>
    </row>
    <row r="7" spans="2:27" ht="19.95" customHeight="1">
      <c r="B7" s="6" t="s">
        <v>350</v>
      </c>
      <c r="C7" s="36">
        <v>0</v>
      </c>
      <c r="D7" s="36">
        <f t="shared" ref="D7:Z7" si="2">C8*CHURN</f>
        <v>0.625</v>
      </c>
      <c r="E7" s="36">
        <f t="shared" si="2"/>
        <v>1.2750000000000001</v>
      </c>
      <c r="F7" s="36">
        <f t="shared" si="2"/>
        <v>1.9571875000000003</v>
      </c>
      <c r="G7" s="36">
        <f t="shared" si="2"/>
        <v>2.6796562500000003</v>
      </c>
      <c r="H7" s="36">
        <f t="shared" si="2"/>
        <v>3.4515507812500008</v>
      </c>
      <c r="I7" s="36">
        <f t="shared" si="2"/>
        <v>4.2832321875000003</v>
      </c>
      <c r="J7" s="36">
        <f t="shared" si="2"/>
        <v>5.1864683652343748</v>
      </c>
      <c r="K7" s="36">
        <f t="shared" si="2"/>
        <v>6.1746524021484355</v>
      </c>
      <c r="L7" s="36">
        <f t="shared" si="2"/>
        <v>7.2630533554931622</v>
      </c>
      <c r="M7" s="36">
        <f t="shared" si="2"/>
        <v>8.4691042971884745</v>
      </c>
      <c r="N7" s="36">
        <f t="shared" si="2"/>
        <v>9.8127332332195181</v>
      </c>
      <c r="O7" s="36">
        <f t="shared" si="2"/>
        <v>11.316743345082577</v>
      </c>
      <c r="P7" s="36">
        <f t="shared" si="2"/>
        <v>13.007249967381089</v>
      </c>
      <c r="Q7" s="36">
        <f t="shared" si="2"/>
        <v>14.914182826997569</v>
      </c>
      <c r="R7" s="36">
        <f t="shared" si="2"/>
        <v>17.071863347331057</v>
      </c>
      <c r="S7" s="36">
        <f t="shared" si="2"/>
        <v>19.519668290900377</v>
      </c>
      <c r="T7" s="36">
        <f t="shared" si="2"/>
        <v>22.302792703931608</v>
      </c>
      <c r="U7" s="36">
        <f t="shared" si="2"/>
        <v>25.473127070447713</v>
      </c>
      <c r="V7" s="36">
        <f t="shared" si="2"/>
        <v>29.090265818894917</v>
      </c>
      <c r="W7" s="36">
        <f t="shared" si="2"/>
        <v>33.222666895215205</v>
      </c>
      <c r="X7" s="36">
        <f t="shared" si="2"/>
        <v>37.948985072809222</v>
      </c>
      <c r="Y7" s="36">
        <f t="shared" si="2"/>
        <v>42.551535819168762</v>
      </c>
      <c r="Z7" s="36">
        <f t="shared" si="2"/>
        <v>46.923959028210326</v>
      </c>
      <c r="AA7" s="36">
        <f>SUM(C7:Z7)</f>
        <v>364.52067855840437</v>
      </c>
    </row>
    <row r="8" spans="2:27" ht="19.95" customHeight="1">
      <c r="B8" s="8" t="s">
        <v>351</v>
      </c>
      <c r="C8" s="38">
        <f>C6</f>
        <v>12.5</v>
      </c>
      <c r="D8" s="38">
        <f t="shared" ref="D8:Z8" si="3">C8+D6-D7</f>
        <v>25.5</v>
      </c>
      <c r="E8" s="38">
        <f t="shared" si="3"/>
        <v>39.143750000000004</v>
      </c>
      <c r="F8" s="38">
        <f t="shared" si="3"/>
        <v>53.593125000000001</v>
      </c>
      <c r="G8" s="38">
        <f t="shared" si="3"/>
        <v>69.031015625000009</v>
      </c>
      <c r="H8" s="38">
        <f t="shared" si="3"/>
        <v>85.664643749999996</v>
      </c>
      <c r="I8" s="38">
        <f t="shared" si="3"/>
        <v>103.72936730468749</v>
      </c>
      <c r="J8" s="38">
        <f t="shared" si="3"/>
        <v>123.49304804296871</v>
      </c>
      <c r="K8" s="38">
        <f t="shared" si="3"/>
        <v>145.26106710986323</v>
      </c>
      <c r="L8" s="38">
        <f t="shared" si="3"/>
        <v>169.38208594376948</v>
      </c>
      <c r="M8" s="38">
        <f t="shared" si="3"/>
        <v>196.25466466439033</v>
      </c>
      <c r="N8" s="38">
        <f t="shared" si="3"/>
        <v>226.33486690165151</v>
      </c>
      <c r="O8" s="38">
        <f t="shared" si="3"/>
        <v>260.14499934762176</v>
      </c>
      <c r="P8" s="38">
        <f t="shared" si="3"/>
        <v>298.28365653995138</v>
      </c>
      <c r="Q8" s="38">
        <f t="shared" si="3"/>
        <v>341.43726694662115</v>
      </c>
      <c r="R8" s="38">
        <f t="shared" si="3"/>
        <v>390.39336581800751</v>
      </c>
      <c r="S8" s="38">
        <f t="shared" si="3"/>
        <v>446.05585407863214</v>
      </c>
      <c r="T8" s="38">
        <f t="shared" si="3"/>
        <v>509.46254140895422</v>
      </c>
      <c r="U8" s="38">
        <f t="shared" si="3"/>
        <v>581.80531637789829</v>
      </c>
      <c r="V8" s="38">
        <f t="shared" si="3"/>
        <v>664.45333790430402</v>
      </c>
      <c r="W8" s="38">
        <f t="shared" si="3"/>
        <v>758.97970145618444</v>
      </c>
      <c r="X8" s="38">
        <f t="shared" si="3"/>
        <v>851.03071638337519</v>
      </c>
      <c r="Y8" s="38">
        <f t="shared" si="3"/>
        <v>938.47918056420644</v>
      </c>
      <c r="Z8" s="38">
        <f t="shared" si="3"/>
        <v>1021.5552215359961</v>
      </c>
      <c r="AA8" s="38">
        <f>Z8</f>
        <v>1021.5552215359961</v>
      </c>
    </row>
    <row r="9" spans="2:27" ht="19.95" customHeight="1">
      <c r="B9" s="6" t="s">
        <v>352</v>
      </c>
      <c r="C9" s="36">
        <f t="shared" ref="C9:Z9" si="4">C8*SUB_START_SH</f>
        <v>3.125</v>
      </c>
      <c r="D9" s="36">
        <f t="shared" si="4"/>
        <v>6.375</v>
      </c>
      <c r="E9" s="36">
        <f t="shared" si="4"/>
        <v>9.7859375000000011</v>
      </c>
      <c r="F9" s="36">
        <f t="shared" si="4"/>
        <v>13.39828125</v>
      </c>
      <c r="G9" s="36">
        <f t="shared" si="4"/>
        <v>17.257753906250002</v>
      </c>
      <c r="H9" s="36">
        <f t="shared" si="4"/>
        <v>21.416160937499999</v>
      </c>
      <c r="I9" s="36">
        <f t="shared" si="4"/>
        <v>25.932341826171871</v>
      </c>
      <c r="J9" s="36">
        <f t="shared" si="4"/>
        <v>30.873262010742177</v>
      </c>
      <c r="K9" s="36">
        <f t="shared" si="4"/>
        <v>36.315266777465808</v>
      </c>
      <c r="L9" s="36">
        <f t="shared" si="4"/>
        <v>42.345521485942371</v>
      </c>
      <c r="M9" s="36">
        <f t="shared" si="4"/>
        <v>49.063666166097583</v>
      </c>
      <c r="N9" s="36">
        <f t="shared" si="4"/>
        <v>56.583716725412877</v>
      </c>
      <c r="O9" s="36">
        <f t="shared" si="4"/>
        <v>65.036249836905441</v>
      </c>
      <c r="P9" s="36">
        <f t="shared" si="4"/>
        <v>74.570914134987845</v>
      </c>
      <c r="Q9" s="36">
        <f t="shared" si="4"/>
        <v>85.359316736655288</v>
      </c>
      <c r="R9" s="36">
        <f t="shared" si="4"/>
        <v>97.598341454501877</v>
      </c>
      <c r="S9" s="36">
        <f t="shared" si="4"/>
        <v>111.51396351965803</v>
      </c>
      <c r="T9" s="36">
        <f t="shared" si="4"/>
        <v>127.36563535223856</v>
      </c>
      <c r="U9" s="36">
        <f t="shared" si="4"/>
        <v>145.45132909447457</v>
      </c>
      <c r="V9" s="36">
        <f t="shared" si="4"/>
        <v>166.11333447607601</v>
      </c>
      <c r="W9" s="36">
        <f t="shared" si="4"/>
        <v>189.74492536404611</v>
      </c>
      <c r="X9" s="36">
        <f t="shared" si="4"/>
        <v>212.7576790958438</v>
      </c>
      <c r="Y9" s="36">
        <f t="shared" si="4"/>
        <v>234.61979514105161</v>
      </c>
      <c r="Z9" s="36">
        <f t="shared" si="4"/>
        <v>255.38880538399903</v>
      </c>
      <c r="AA9" s="36">
        <f>Z9</f>
        <v>255.38880538399903</v>
      </c>
    </row>
    <row r="10" spans="2:27" ht="19.95" customHeight="1">
      <c r="B10" s="8" t="s">
        <v>353</v>
      </c>
      <c r="C10" s="38">
        <f t="shared" ref="C10:Z10" si="5">C8*SUB_BIZ_SH</f>
        <v>1</v>
      </c>
      <c r="D10" s="38">
        <f t="shared" si="5"/>
        <v>2.04</v>
      </c>
      <c r="E10" s="38">
        <f t="shared" si="5"/>
        <v>3.1315000000000004</v>
      </c>
      <c r="F10" s="38">
        <f t="shared" si="5"/>
        <v>4.2874499999999998</v>
      </c>
      <c r="G10" s="38">
        <f t="shared" si="5"/>
        <v>5.5224812500000011</v>
      </c>
      <c r="H10" s="38">
        <f t="shared" si="5"/>
        <v>6.8531715000000002</v>
      </c>
      <c r="I10" s="38">
        <f t="shared" si="5"/>
        <v>8.2983493843749994</v>
      </c>
      <c r="J10" s="38">
        <f t="shared" si="5"/>
        <v>9.8794438434374978</v>
      </c>
      <c r="K10" s="38">
        <f t="shared" si="5"/>
        <v>11.620885368789059</v>
      </c>
      <c r="L10" s="38">
        <f t="shared" si="5"/>
        <v>13.550566875501559</v>
      </c>
      <c r="M10" s="38">
        <f t="shared" si="5"/>
        <v>15.700373173151227</v>
      </c>
      <c r="N10" s="38">
        <f t="shared" si="5"/>
        <v>18.106789352132122</v>
      </c>
      <c r="O10" s="38">
        <f t="shared" si="5"/>
        <v>20.811599947809743</v>
      </c>
      <c r="P10" s="38">
        <f t="shared" si="5"/>
        <v>23.86269252319611</v>
      </c>
      <c r="Q10" s="38">
        <f t="shared" si="5"/>
        <v>27.314981355729692</v>
      </c>
      <c r="R10" s="38">
        <f t="shared" si="5"/>
        <v>31.231469265440602</v>
      </c>
      <c r="S10" s="38">
        <f t="shared" si="5"/>
        <v>35.68446832629057</v>
      </c>
      <c r="T10" s="38">
        <f t="shared" si="5"/>
        <v>40.757003312716336</v>
      </c>
      <c r="U10" s="38">
        <f t="shared" si="5"/>
        <v>46.544425310231865</v>
      </c>
      <c r="V10" s="38">
        <f t="shared" si="5"/>
        <v>53.156267032344324</v>
      </c>
      <c r="W10" s="38">
        <f t="shared" si="5"/>
        <v>60.71837611649476</v>
      </c>
      <c r="X10" s="38">
        <f t="shared" si="5"/>
        <v>68.082457310670023</v>
      </c>
      <c r="Y10" s="38">
        <f t="shared" si="5"/>
        <v>75.07833444513652</v>
      </c>
      <c r="Z10" s="38">
        <f t="shared" si="5"/>
        <v>81.724417722879693</v>
      </c>
      <c r="AA10" s="38">
        <f>Z10</f>
        <v>81.724417722879693</v>
      </c>
    </row>
    <row r="11" spans="2:27" ht="19.95" customHeight="1">
      <c r="B11" s="6" t="s">
        <v>354</v>
      </c>
      <c r="C11" s="36">
        <f t="shared" ref="C11:Z11" si="6">C8*CASUAL_SH</f>
        <v>8.375</v>
      </c>
      <c r="D11" s="36">
        <f t="shared" si="6"/>
        <v>17.085000000000001</v>
      </c>
      <c r="E11" s="36">
        <f t="shared" si="6"/>
        <v>26.226312500000006</v>
      </c>
      <c r="F11" s="36">
        <f t="shared" si="6"/>
        <v>35.907393750000004</v>
      </c>
      <c r="G11" s="36">
        <f t="shared" si="6"/>
        <v>46.250780468750008</v>
      </c>
      <c r="H11" s="36">
        <f t="shared" si="6"/>
        <v>57.395311312499999</v>
      </c>
      <c r="I11" s="36">
        <f t="shared" si="6"/>
        <v>69.49867609414062</v>
      </c>
      <c r="J11" s="36">
        <f t="shared" si="6"/>
        <v>82.740342188789043</v>
      </c>
      <c r="K11" s="36">
        <f t="shared" si="6"/>
        <v>97.324914963608379</v>
      </c>
      <c r="L11" s="36">
        <f t="shared" si="6"/>
        <v>113.48599758232557</v>
      </c>
      <c r="M11" s="36">
        <f t="shared" si="6"/>
        <v>131.49062532514154</v>
      </c>
      <c r="N11" s="36">
        <f t="shared" si="6"/>
        <v>151.64436082410651</v>
      </c>
      <c r="O11" s="36">
        <f t="shared" si="6"/>
        <v>174.29714956290658</v>
      </c>
      <c r="P11" s="36">
        <f t="shared" si="6"/>
        <v>199.85004988176743</v>
      </c>
      <c r="Q11" s="36">
        <f t="shared" si="6"/>
        <v>228.76296885423619</v>
      </c>
      <c r="R11" s="36">
        <f t="shared" si="6"/>
        <v>261.56355509806502</v>
      </c>
      <c r="S11" s="36">
        <f t="shared" si="6"/>
        <v>298.85742223268358</v>
      </c>
      <c r="T11" s="36">
        <f t="shared" si="6"/>
        <v>341.33990274399935</v>
      </c>
      <c r="U11" s="36">
        <f t="shared" si="6"/>
        <v>389.80956197319188</v>
      </c>
      <c r="V11" s="36">
        <f t="shared" si="6"/>
        <v>445.18373639588373</v>
      </c>
      <c r="W11" s="36">
        <f t="shared" si="6"/>
        <v>508.51639997564359</v>
      </c>
      <c r="X11" s="36">
        <f t="shared" si="6"/>
        <v>570.19057997686139</v>
      </c>
      <c r="Y11" s="36">
        <f t="shared" si="6"/>
        <v>628.78105097801836</v>
      </c>
      <c r="Z11" s="36">
        <f t="shared" si="6"/>
        <v>684.44199842911746</v>
      </c>
      <c r="AA11" s="36">
        <f>Z11</f>
        <v>684.44199842911746</v>
      </c>
    </row>
    <row r="12" spans="2:27" ht="19.95" customHeight="1">
      <c r="B12" s="8" t="s">
        <v>355</v>
      </c>
      <c r="C12" s="38">
        <f t="shared" ref="C12:Z12" si="7">C11*CASUAL_ACT*VAC_PER_EMP+C9*VAC_PER_EMP_SUB+C10*VAC_PER_EMP_BIZ</f>
        <v>17.787500000000001</v>
      </c>
      <c r="D12" s="38">
        <f t="shared" si="7"/>
        <v>36.286500000000004</v>
      </c>
      <c r="E12" s="38">
        <f t="shared" si="7"/>
        <v>55.70155625000001</v>
      </c>
      <c r="F12" s="38">
        <f t="shared" si="7"/>
        <v>76.263016875000005</v>
      </c>
      <c r="G12" s="38">
        <f t="shared" si="7"/>
        <v>98.231135234375017</v>
      </c>
      <c r="H12" s="38">
        <f t="shared" si="7"/>
        <v>121.90078805625001</v>
      </c>
      <c r="I12" s="38">
        <f t="shared" si="7"/>
        <v>147.60688967457031</v>
      </c>
      <c r="J12" s="38">
        <f t="shared" si="7"/>
        <v>175.73060736514449</v>
      </c>
      <c r="K12" s="38">
        <f t="shared" si="7"/>
        <v>206.70649849733542</v>
      </c>
      <c r="L12" s="38">
        <f t="shared" si="7"/>
        <v>241.03070829798401</v>
      </c>
      <c r="M12" s="38">
        <f t="shared" si="7"/>
        <v>279.27038781742749</v>
      </c>
      <c r="N12" s="38">
        <f t="shared" si="7"/>
        <v>322.07451560105011</v>
      </c>
      <c r="O12" s="38">
        <f t="shared" si="7"/>
        <v>370.18633407166573</v>
      </c>
      <c r="P12" s="38">
        <f t="shared" si="7"/>
        <v>424.45764325635082</v>
      </c>
      <c r="Q12" s="38">
        <f t="shared" si="7"/>
        <v>485.86523086504189</v>
      </c>
      <c r="R12" s="38">
        <f t="shared" si="7"/>
        <v>555.52975955902468</v>
      </c>
      <c r="S12" s="38">
        <f t="shared" si="7"/>
        <v>634.73748035389349</v>
      </c>
      <c r="T12" s="38">
        <f t="shared" si="7"/>
        <v>724.96519642494184</v>
      </c>
      <c r="U12" s="38">
        <f t="shared" si="7"/>
        <v>827.90896520574938</v>
      </c>
      <c r="V12" s="38">
        <f t="shared" si="7"/>
        <v>945.51709983782462</v>
      </c>
      <c r="W12" s="38">
        <f t="shared" si="7"/>
        <v>1080.0281151721506</v>
      </c>
      <c r="X12" s="38">
        <f t="shared" si="7"/>
        <v>1211.0167094135429</v>
      </c>
      <c r="Y12" s="38">
        <f t="shared" si="7"/>
        <v>1335.4558739428658</v>
      </c>
      <c r="Z12" s="38">
        <f t="shared" si="7"/>
        <v>1453.6730802457225</v>
      </c>
      <c r="AA12" s="38">
        <f t="shared" ref="AA12:AA18" si="8">SUM(C12:Z12)</f>
        <v>11827.931592017909</v>
      </c>
    </row>
    <row r="13" spans="2:27" ht="19.95" customHeight="1">
      <c r="B13" s="6" t="s">
        <v>356</v>
      </c>
      <c r="C13" s="36">
        <f t="shared" ref="C13:Z13" si="9">C11*CASUAL_ACT*INV_PER_EMP_CAS+C9*INV_PER_EMP_SUB+C10*INV_PER_EMP_BIZ</f>
        <v>672.8</v>
      </c>
      <c r="D13" s="36">
        <f t="shared" si="9"/>
        <v>1372.5119999999999</v>
      </c>
      <c r="E13" s="36">
        <f t="shared" si="9"/>
        <v>2106.8732000000005</v>
      </c>
      <c r="F13" s="36">
        <f t="shared" si="9"/>
        <v>2884.5963599999995</v>
      </c>
      <c r="G13" s="36">
        <f t="shared" si="9"/>
        <v>3715.5253850000008</v>
      </c>
      <c r="H13" s="36">
        <f t="shared" si="9"/>
        <v>4610.8137852</v>
      </c>
      <c r="I13" s="36">
        <f t="shared" si="9"/>
        <v>5583.1294658075003</v>
      </c>
      <c r="J13" s="36">
        <f t="shared" si="9"/>
        <v>6646.8898178647487</v>
      </c>
      <c r="K13" s="36">
        <f t="shared" si="9"/>
        <v>7818.5316761212789</v>
      </c>
      <c r="L13" s="36">
        <f t="shared" si="9"/>
        <v>9116.8213938374483</v>
      </c>
      <c r="M13" s="36">
        <f t="shared" si="9"/>
        <v>10563.211070896145</v>
      </c>
      <c r="N13" s="36">
        <f t="shared" si="9"/>
        <v>12182.247876114492</v>
      </c>
      <c r="O13" s="36">
        <f t="shared" si="9"/>
        <v>14002.044444886395</v>
      </c>
      <c r="P13" s="36">
        <f t="shared" si="9"/>
        <v>16054.819529606342</v>
      </c>
      <c r="Q13" s="36">
        <f t="shared" si="9"/>
        <v>18377.519456134938</v>
      </c>
      <c r="R13" s="36">
        <f t="shared" si="9"/>
        <v>21012.532521788438</v>
      </c>
      <c r="S13" s="36">
        <f t="shared" si="9"/>
        <v>24008.510289928294</v>
      </c>
      <c r="T13" s="36">
        <f t="shared" si="9"/>
        <v>27421.311828795551</v>
      </c>
      <c r="U13" s="36">
        <f t="shared" si="9"/>
        <v>31315.089348723999</v>
      </c>
      <c r="V13" s="36">
        <f t="shared" si="9"/>
        <v>35763.536459361261</v>
      </c>
      <c r="W13" s="36">
        <f t="shared" si="9"/>
        <v>40851.323451177675</v>
      </c>
      <c r="X13" s="36">
        <f t="shared" si="9"/>
        <v>45805.877278618791</v>
      </c>
      <c r="Y13" s="36">
        <f t="shared" si="9"/>
        <v>50512.70341468785</v>
      </c>
      <c r="Z13" s="36">
        <f t="shared" si="9"/>
        <v>54984.188243953453</v>
      </c>
      <c r="AA13" s="36">
        <f t="shared" si="8"/>
        <v>447383.4082985046</v>
      </c>
    </row>
    <row r="14" spans="2:27" ht="19.95" customHeight="1">
      <c r="B14" s="8" t="s">
        <v>357</v>
      </c>
      <c r="C14" s="38">
        <f t="shared" ref="C14:Z14" si="10">C9*SUB_START</f>
        <v>30937.5</v>
      </c>
      <c r="D14" s="38">
        <f t="shared" si="10"/>
        <v>63112.5</v>
      </c>
      <c r="E14" s="38">
        <f t="shared" si="10"/>
        <v>96880.781250000015</v>
      </c>
      <c r="F14" s="38">
        <f t="shared" si="10"/>
        <v>132642.984375</v>
      </c>
      <c r="G14" s="38">
        <f t="shared" si="10"/>
        <v>170851.76367187503</v>
      </c>
      <c r="H14" s="38">
        <f t="shared" si="10"/>
        <v>212019.99328125</v>
      </c>
      <c r="I14" s="38">
        <f t="shared" si="10"/>
        <v>256730.18407910151</v>
      </c>
      <c r="J14" s="38">
        <f t="shared" si="10"/>
        <v>305645.29390634754</v>
      </c>
      <c r="K14" s="38">
        <f t="shared" si="10"/>
        <v>359521.14109691151</v>
      </c>
      <c r="L14" s="38">
        <f t="shared" si="10"/>
        <v>419220.66271082946</v>
      </c>
      <c r="M14" s="38">
        <f t="shared" si="10"/>
        <v>485730.2950443661</v>
      </c>
      <c r="N14" s="38">
        <f t="shared" si="10"/>
        <v>560178.79558158747</v>
      </c>
      <c r="O14" s="38">
        <f t="shared" si="10"/>
        <v>643858.87338536384</v>
      </c>
      <c r="P14" s="38">
        <f t="shared" si="10"/>
        <v>738252.04993637966</v>
      </c>
      <c r="Q14" s="38">
        <f t="shared" si="10"/>
        <v>845057.23569288733</v>
      </c>
      <c r="R14" s="38">
        <f t="shared" si="10"/>
        <v>966223.58039956854</v>
      </c>
      <c r="S14" s="38">
        <f t="shared" si="10"/>
        <v>1103988.2388446145</v>
      </c>
      <c r="T14" s="38">
        <f t="shared" si="10"/>
        <v>1260919.7899871618</v>
      </c>
      <c r="U14" s="38">
        <f t="shared" si="10"/>
        <v>1439968.1580352983</v>
      </c>
      <c r="V14" s="38">
        <f t="shared" si="10"/>
        <v>1644522.0113131525</v>
      </c>
      <c r="W14" s="38">
        <f t="shared" si="10"/>
        <v>1878474.7611040566</v>
      </c>
      <c r="X14" s="38">
        <f t="shared" si="10"/>
        <v>2106301.0230488535</v>
      </c>
      <c r="Y14" s="38">
        <f t="shared" si="10"/>
        <v>2322735.9718964109</v>
      </c>
      <c r="Z14" s="38">
        <f t="shared" si="10"/>
        <v>2528349.1733015906</v>
      </c>
      <c r="AA14" s="38">
        <f t="shared" si="8"/>
        <v>20572122.761942603</v>
      </c>
    </row>
    <row r="15" spans="2:27" ht="19.95" customHeight="1">
      <c r="B15" s="6" t="s">
        <v>358</v>
      </c>
      <c r="C15" s="36">
        <f t="shared" ref="C15:Z15" si="11">C10*SUB_BIZ</f>
        <v>29900</v>
      </c>
      <c r="D15" s="36">
        <f t="shared" si="11"/>
        <v>60996</v>
      </c>
      <c r="E15" s="36">
        <f t="shared" si="11"/>
        <v>93631.85</v>
      </c>
      <c r="F15" s="36">
        <f t="shared" si="11"/>
        <v>128194.75499999999</v>
      </c>
      <c r="G15" s="36">
        <f t="shared" si="11"/>
        <v>165122.18937500005</v>
      </c>
      <c r="H15" s="36">
        <f t="shared" si="11"/>
        <v>204909.82785</v>
      </c>
      <c r="I15" s="36">
        <f t="shared" si="11"/>
        <v>248120.64659281247</v>
      </c>
      <c r="J15" s="36">
        <f t="shared" si="11"/>
        <v>295395.37091878121</v>
      </c>
      <c r="K15" s="36">
        <f t="shared" si="11"/>
        <v>347464.47252679284</v>
      </c>
      <c r="L15" s="36">
        <f t="shared" si="11"/>
        <v>405161.94957749662</v>
      </c>
      <c r="M15" s="36">
        <f t="shared" si="11"/>
        <v>469441.1578772217</v>
      </c>
      <c r="N15" s="36">
        <f t="shared" si="11"/>
        <v>541393.00162875047</v>
      </c>
      <c r="O15" s="36">
        <f t="shared" si="11"/>
        <v>622266.83843951137</v>
      </c>
      <c r="P15" s="36">
        <f t="shared" si="11"/>
        <v>713494.50644356373</v>
      </c>
      <c r="Q15" s="36">
        <f t="shared" si="11"/>
        <v>816717.94253631774</v>
      </c>
      <c r="R15" s="36">
        <f t="shared" si="11"/>
        <v>933820.93103667395</v>
      </c>
      <c r="S15" s="36">
        <f t="shared" si="11"/>
        <v>1066965.602956088</v>
      </c>
      <c r="T15" s="36">
        <f t="shared" si="11"/>
        <v>1218634.3990502185</v>
      </c>
      <c r="U15" s="36">
        <f t="shared" si="11"/>
        <v>1391678.3167759327</v>
      </c>
      <c r="V15" s="36">
        <f t="shared" si="11"/>
        <v>1589372.3842670952</v>
      </c>
      <c r="W15" s="36">
        <f t="shared" si="11"/>
        <v>1815479.4458831933</v>
      </c>
      <c r="X15" s="36">
        <f t="shared" si="11"/>
        <v>2035665.4735890336</v>
      </c>
      <c r="Y15" s="36">
        <f t="shared" si="11"/>
        <v>2244842.1999095818</v>
      </c>
      <c r="Z15" s="36">
        <f t="shared" si="11"/>
        <v>2443560.089914103</v>
      </c>
      <c r="AA15" s="36">
        <f t="shared" si="8"/>
        <v>19882229.352148168</v>
      </c>
    </row>
    <row r="16" spans="2:27" ht="19.95" customHeight="1">
      <c r="B16" s="8" t="s">
        <v>359</v>
      </c>
      <c r="C16" s="38">
        <f t="shared" ref="C16:Z16" si="12">C11*CASUAL_ACT*(VAC_PER_EMP*VAC_AVG+INV_PER_EMP_CAS*INV_PRICE)</f>
        <v>6263.6624999999995</v>
      </c>
      <c r="D16" s="38">
        <f t="shared" si="12"/>
        <v>12777.871499999999</v>
      </c>
      <c r="E16" s="38">
        <f t="shared" si="12"/>
        <v>19614.659118750002</v>
      </c>
      <c r="F16" s="38">
        <f t="shared" si="12"/>
        <v>26855.139785625001</v>
      </c>
      <c r="G16" s="38">
        <f t="shared" si="12"/>
        <v>34590.958712578133</v>
      </c>
      <c r="H16" s="38">
        <f t="shared" si="12"/>
        <v>42925.953330618744</v>
      </c>
      <c r="I16" s="38">
        <f t="shared" si="12"/>
        <v>51978.059850807775</v>
      </c>
      <c r="J16" s="38">
        <f t="shared" si="12"/>
        <v>61881.501922995325</v>
      </c>
      <c r="K16" s="38">
        <f t="shared" si="12"/>
        <v>72789.303901282707</v>
      </c>
      <c r="L16" s="38">
        <f t="shared" si="12"/>
        <v>84876.177591821295</v>
      </c>
      <c r="M16" s="38">
        <f t="shared" si="12"/>
        <v>98341.838680673347</v>
      </c>
      <c r="N16" s="38">
        <f t="shared" si="12"/>
        <v>113414.81746034925</v>
      </c>
      <c r="O16" s="38">
        <f t="shared" si="12"/>
        <v>130356.83815809783</v>
      </c>
      <c r="P16" s="38">
        <f t="shared" si="12"/>
        <v>149467.85230657386</v>
      </c>
      <c r="Q16" s="38">
        <f t="shared" si="12"/>
        <v>171091.82440608324</v>
      </c>
      <c r="R16" s="38">
        <f t="shared" si="12"/>
        <v>195623.38285784284</v>
      </c>
      <c r="S16" s="38">
        <f t="shared" si="12"/>
        <v>223515.46608782402</v>
      </c>
      <c r="T16" s="38">
        <f t="shared" si="12"/>
        <v>255288.11326223711</v>
      </c>
      <c r="U16" s="38">
        <f t="shared" si="12"/>
        <v>291538.57139975019</v>
      </c>
      <c r="V16" s="38">
        <f t="shared" si="12"/>
        <v>332952.91645048145</v>
      </c>
      <c r="W16" s="38">
        <f t="shared" si="12"/>
        <v>380319.41554178385</v>
      </c>
      <c r="X16" s="38">
        <f t="shared" si="12"/>
        <v>426445.53476469457</v>
      </c>
      <c r="Y16" s="38">
        <f t="shared" si="12"/>
        <v>470265.34802645992</v>
      </c>
      <c r="Z16" s="38">
        <f t="shared" si="12"/>
        <v>511894.17062513699</v>
      </c>
      <c r="AA16" s="38">
        <f t="shared" si="8"/>
        <v>4165069.3782424675</v>
      </c>
    </row>
    <row r="17" spans="2:27" ht="19.95" customHeight="1">
      <c r="B17" s="6" t="s">
        <v>360</v>
      </c>
      <c r="C17" s="36">
        <f t="shared" ref="C17:Z17" si="13">C12*FINE_SHARE*FINE</f>
        <v>176.98562500000003</v>
      </c>
      <c r="D17" s="36">
        <f t="shared" si="13"/>
        <v>361.05067500000001</v>
      </c>
      <c r="E17" s="36">
        <f t="shared" si="13"/>
        <v>554.23048468750017</v>
      </c>
      <c r="F17" s="36">
        <f t="shared" si="13"/>
        <v>758.81701790625004</v>
      </c>
      <c r="G17" s="36">
        <f t="shared" si="13"/>
        <v>977.39979558203152</v>
      </c>
      <c r="H17" s="36">
        <f t="shared" si="13"/>
        <v>1212.9128411596876</v>
      </c>
      <c r="I17" s="36">
        <f t="shared" si="13"/>
        <v>1468.6885522619746</v>
      </c>
      <c r="J17" s="36">
        <f t="shared" si="13"/>
        <v>1748.5195432831877</v>
      </c>
      <c r="K17" s="36">
        <f t="shared" si="13"/>
        <v>2056.7296600484874</v>
      </c>
      <c r="L17" s="36">
        <f t="shared" si="13"/>
        <v>2398.255547564941</v>
      </c>
      <c r="M17" s="36">
        <f t="shared" si="13"/>
        <v>2778.7403587834037</v>
      </c>
      <c r="N17" s="36">
        <f t="shared" si="13"/>
        <v>3204.6414302304488</v>
      </c>
      <c r="O17" s="36">
        <f t="shared" si="13"/>
        <v>3683.3540240130742</v>
      </c>
      <c r="P17" s="36">
        <f t="shared" si="13"/>
        <v>4223.3535504006904</v>
      </c>
      <c r="Q17" s="36">
        <f t="shared" si="13"/>
        <v>4834.3590471071675</v>
      </c>
      <c r="R17" s="36">
        <f t="shared" si="13"/>
        <v>5527.521107612296</v>
      </c>
      <c r="S17" s="36">
        <f t="shared" si="13"/>
        <v>6315.63792952124</v>
      </c>
      <c r="T17" s="36">
        <f t="shared" si="13"/>
        <v>7213.4037044281722</v>
      </c>
      <c r="U17" s="36">
        <f t="shared" si="13"/>
        <v>8237.6942037972076</v>
      </c>
      <c r="V17" s="36">
        <f t="shared" si="13"/>
        <v>9407.8951433863567</v>
      </c>
      <c r="W17" s="36">
        <f t="shared" si="13"/>
        <v>10746.279745962898</v>
      </c>
      <c r="X17" s="36">
        <f t="shared" si="13"/>
        <v>12049.616258664753</v>
      </c>
      <c r="Y17" s="36">
        <f t="shared" si="13"/>
        <v>13287.785945731513</v>
      </c>
      <c r="Z17" s="36">
        <f t="shared" si="13"/>
        <v>14464.047148444939</v>
      </c>
      <c r="AA17" s="36">
        <f t="shared" si="8"/>
        <v>117687.91934057821</v>
      </c>
    </row>
    <row r="18" spans="2:27" ht="19.95" customHeight="1">
      <c r="B18" s="47" t="s">
        <v>361</v>
      </c>
      <c r="C18" s="48">
        <f t="shared" ref="C18:Z18" si="14">SUM(C14:C17)</f>
        <v>67278.148125000007</v>
      </c>
      <c r="D18" s="48">
        <f t="shared" si="14"/>
        <v>137247.42217500001</v>
      </c>
      <c r="E18" s="48">
        <f t="shared" si="14"/>
        <v>210681.52085343754</v>
      </c>
      <c r="F18" s="48">
        <f t="shared" si="14"/>
        <v>288451.69617853122</v>
      </c>
      <c r="G18" s="48">
        <f t="shared" si="14"/>
        <v>371542.31155503524</v>
      </c>
      <c r="H18" s="48">
        <f t="shared" si="14"/>
        <v>461068.68730302842</v>
      </c>
      <c r="I18" s="48">
        <f t="shared" si="14"/>
        <v>558297.57907498383</v>
      </c>
      <c r="J18" s="48">
        <f t="shared" si="14"/>
        <v>664670.68629140721</v>
      </c>
      <c r="K18" s="48">
        <f t="shared" si="14"/>
        <v>781831.64718503552</v>
      </c>
      <c r="L18" s="48">
        <f t="shared" si="14"/>
        <v>911657.04542771226</v>
      </c>
      <c r="M18" s="48">
        <f t="shared" si="14"/>
        <v>1056292.0319610445</v>
      </c>
      <c r="N18" s="48">
        <f t="shared" si="14"/>
        <v>1218191.2561009177</v>
      </c>
      <c r="O18" s="48">
        <f t="shared" si="14"/>
        <v>1400165.9040069862</v>
      </c>
      <c r="P18" s="48">
        <f t="shared" si="14"/>
        <v>1605437.7622369179</v>
      </c>
      <c r="Q18" s="48">
        <f t="shared" si="14"/>
        <v>1837701.3616823955</v>
      </c>
      <c r="R18" s="48">
        <f t="shared" si="14"/>
        <v>2101195.4154016976</v>
      </c>
      <c r="S18" s="48">
        <f t="shared" si="14"/>
        <v>2400784.945818048</v>
      </c>
      <c r="T18" s="48">
        <f t="shared" si="14"/>
        <v>2742055.7060040454</v>
      </c>
      <c r="U18" s="48">
        <f t="shared" si="14"/>
        <v>3131422.7404147782</v>
      </c>
      <c r="V18" s="48">
        <f t="shared" si="14"/>
        <v>3576255.2071741158</v>
      </c>
      <c r="W18" s="48">
        <f t="shared" si="14"/>
        <v>4085019.9022749965</v>
      </c>
      <c r="X18" s="48">
        <f t="shared" si="14"/>
        <v>4580461.6476612473</v>
      </c>
      <c r="Y18" s="48">
        <f t="shared" si="14"/>
        <v>5051131.305778184</v>
      </c>
      <c r="Z18" s="48">
        <f t="shared" si="14"/>
        <v>5498267.4809892755</v>
      </c>
      <c r="AA18" s="48">
        <f t="shared" si="8"/>
        <v>44737109.411673822</v>
      </c>
    </row>
    <row r="19" spans="2:27" ht="19.95" customHeight="1">
      <c r="B19" s="6" t="s">
        <v>362</v>
      </c>
      <c r="C19" s="36">
        <f>C18</f>
        <v>67278.148125000007</v>
      </c>
      <c r="D19" s="36">
        <f t="shared" ref="D19:Z19" si="15">C19+D18</f>
        <v>204525.57030000002</v>
      </c>
      <c r="E19" s="36">
        <f t="shared" si="15"/>
        <v>415207.09115343756</v>
      </c>
      <c r="F19" s="36">
        <f t="shared" si="15"/>
        <v>703658.78733196878</v>
      </c>
      <c r="G19" s="36">
        <f t="shared" si="15"/>
        <v>1075201.098887004</v>
      </c>
      <c r="H19" s="36">
        <f t="shared" si="15"/>
        <v>1536269.7861900325</v>
      </c>
      <c r="I19" s="36">
        <f t="shared" si="15"/>
        <v>2094567.3652650164</v>
      </c>
      <c r="J19" s="36">
        <f t="shared" si="15"/>
        <v>2759238.0515564238</v>
      </c>
      <c r="K19" s="36">
        <f t="shared" si="15"/>
        <v>3541069.6987414593</v>
      </c>
      <c r="L19" s="36">
        <f t="shared" si="15"/>
        <v>4452726.7441691719</v>
      </c>
      <c r="M19" s="36">
        <f t="shared" si="15"/>
        <v>5509018.7761302162</v>
      </c>
      <c r="N19" s="36">
        <f t="shared" si="15"/>
        <v>6727210.0322311334</v>
      </c>
      <c r="O19" s="36">
        <f t="shared" si="15"/>
        <v>8127375.9362381194</v>
      </c>
      <c r="P19" s="36">
        <f t="shared" si="15"/>
        <v>9732813.6984750368</v>
      </c>
      <c r="Q19" s="36">
        <f t="shared" si="15"/>
        <v>11570515.060157433</v>
      </c>
      <c r="R19" s="36">
        <f t="shared" si="15"/>
        <v>13671710.47555913</v>
      </c>
      <c r="S19" s="36">
        <f t="shared" si="15"/>
        <v>16072495.421377178</v>
      </c>
      <c r="T19" s="36">
        <f t="shared" si="15"/>
        <v>18814551.127381224</v>
      </c>
      <c r="U19" s="36">
        <f t="shared" si="15"/>
        <v>21945973.867796004</v>
      </c>
      <c r="V19" s="36">
        <f t="shared" si="15"/>
        <v>25522229.074970119</v>
      </c>
      <c r="W19" s="36">
        <f t="shared" si="15"/>
        <v>29607248.977245115</v>
      </c>
      <c r="X19" s="36">
        <f t="shared" si="15"/>
        <v>34187710.624906361</v>
      </c>
      <c r="Y19" s="36">
        <f t="shared" si="15"/>
        <v>39238841.930684544</v>
      </c>
      <c r="Z19" s="36">
        <f t="shared" si="15"/>
        <v>44737109.411673822</v>
      </c>
      <c r="AA19" s="36">
        <f>Z19</f>
        <v>44737109.411673822</v>
      </c>
    </row>
    <row r="22" spans="2:27">
      <c r="B22" s="10" t="s">
        <v>363</v>
      </c>
    </row>
    <row r="23" spans="2:27">
      <c r="B23" s="10" t="s">
        <v>364</v>
      </c>
      <c r="C23" s="10" t="s">
        <v>18</v>
      </c>
      <c r="D23" s="10" t="s">
        <v>365</v>
      </c>
    </row>
    <row r="24" spans="2:27">
      <c r="B24" s="10">
        <v>1</v>
      </c>
      <c r="C24" s="11">
        <v>67278</v>
      </c>
      <c r="D24" s="11">
        <v>-712465</v>
      </c>
    </row>
    <row r="25" spans="2:27">
      <c r="B25" s="10">
        <v>2</v>
      </c>
      <c r="C25" s="11">
        <v>137247</v>
      </c>
      <c r="D25" s="11">
        <v>-654826</v>
      </c>
    </row>
    <row r="26" spans="2:27">
      <c r="B26" s="10">
        <v>3</v>
      </c>
      <c r="C26" s="11">
        <v>210682</v>
      </c>
      <c r="D26" s="11">
        <v>-595265</v>
      </c>
    </row>
    <row r="27" spans="2:27">
      <c r="B27" s="10">
        <v>4</v>
      </c>
      <c r="C27" s="11">
        <v>288452</v>
      </c>
      <c r="D27" s="11">
        <v>-533156</v>
      </c>
    </row>
    <row r="28" spans="2:27">
      <c r="B28" s="10">
        <v>5</v>
      </c>
      <c r="C28" s="11">
        <v>371542</v>
      </c>
      <c r="D28" s="11">
        <v>-467799</v>
      </c>
    </row>
    <row r="29" spans="2:27">
      <c r="B29" s="10">
        <v>6</v>
      </c>
      <c r="C29" s="11">
        <v>461069</v>
      </c>
      <c r="D29" s="11">
        <v>-398402</v>
      </c>
    </row>
    <row r="30" spans="2:27">
      <c r="B30" s="10">
        <v>7</v>
      </c>
      <c r="C30" s="11">
        <v>558298</v>
      </c>
      <c r="D30" s="11">
        <v>-874071</v>
      </c>
    </row>
    <row r="31" spans="2:27">
      <c r="B31" s="10">
        <v>8</v>
      </c>
      <c r="C31" s="11">
        <v>664671</v>
      </c>
      <c r="D31" s="11">
        <v>-793793</v>
      </c>
    </row>
    <row r="32" spans="2:27">
      <c r="B32" s="10">
        <v>9</v>
      </c>
      <c r="C32" s="11">
        <v>781832</v>
      </c>
      <c r="D32" s="11">
        <v>-706416</v>
      </c>
    </row>
    <row r="33" spans="2:4">
      <c r="B33" s="10">
        <v>10</v>
      </c>
      <c r="C33" s="11">
        <v>911657</v>
      </c>
      <c r="D33" s="11">
        <v>-610626</v>
      </c>
    </row>
    <row r="34" spans="2:4">
      <c r="B34" s="10">
        <v>11</v>
      </c>
      <c r="C34" s="11">
        <v>1056292</v>
      </c>
      <c r="D34" s="11">
        <v>-504929</v>
      </c>
    </row>
    <row r="35" spans="2:4">
      <c r="B35" s="10">
        <v>12</v>
      </c>
      <c r="C35" s="11">
        <v>1218191</v>
      </c>
      <c r="D35" s="11">
        <v>-387614</v>
      </c>
    </row>
    <row r="36" spans="2:4">
      <c r="B36" s="10">
        <v>13</v>
      </c>
      <c r="C36" s="11">
        <v>1400166</v>
      </c>
      <c r="D36" s="11">
        <v>-256727</v>
      </c>
    </row>
    <row r="37" spans="2:4">
      <c r="B37" s="10">
        <v>14</v>
      </c>
      <c r="C37" s="11">
        <v>1605438</v>
      </c>
      <c r="D37" s="11">
        <v>-110031</v>
      </c>
    </row>
    <row r="38" spans="2:4">
      <c r="B38" s="10">
        <v>15</v>
      </c>
      <c r="C38" s="11">
        <v>1837701</v>
      </c>
      <c r="D38" s="11">
        <v>55036</v>
      </c>
    </row>
    <row r="39" spans="2:4">
      <c r="B39" s="10">
        <v>16</v>
      </c>
      <c r="C39" s="11">
        <v>2101195</v>
      </c>
      <c r="D39" s="11">
        <v>241413</v>
      </c>
    </row>
    <row r="40" spans="2:4">
      <c r="B40" s="10">
        <v>17</v>
      </c>
      <c r="C40" s="11">
        <v>2400785</v>
      </c>
      <c r="D40" s="11">
        <v>452467</v>
      </c>
    </row>
    <row r="41" spans="2:4">
      <c r="B41" s="10">
        <v>18</v>
      </c>
      <c r="C41" s="11">
        <v>2742056</v>
      </c>
      <c r="D41" s="11">
        <v>692064</v>
      </c>
    </row>
    <row r="42" spans="2:4">
      <c r="B42" s="10">
        <v>19</v>
      </c>
      <c r="C42" s="11">
        <v>3131423</v>
      </c>
      <c r="D42" s="11">
        <v>964642</v>
      </c>
    </row>
    <row r="43" spans="2:4">
      <c r="B43" s="10">
        <v>20</v>
      </c>
      <c r="C43" s="11">
        <v>3576255</v>
      </c>
      <c r="D43" s="11">
        <v>1275296</v>
      </c>
    </row>
    <row r="44" spans="2:4">
      <c r="B44" s="10">
        <v>21</v>
      </c>
      <c r="C44" s="11">
        <v>4085020</v>
      </c>
      <c r="D44" s="11">
        <v>1629877</v>
      </c>
    </row>
    <row r="45" spans="2:4">
      <c r="B45" s="10">
        <v>22</v>
      </c>
      <c r="C45" s="11">
        <v>4580462</v>
      </c>
      <c r="D45" s="11">
        <v>2085099</v>
      </c>
    </row>
    <row r="46" spans="2:4">
      <c r="B46" s="10">
        <v>23</v>
      </c>
      <c r="C46" s="11">
        <v>5051131</v>
      </c>
      <c r="D46" s="11">
        <v>2535180</v>
      </c>
    </row>
    <row r="47" spans="2:4">
      <c r="B47" s="10">
        <v>24</v>
      </c>
      <c r="C47" s="11">
        <v>5498267</v>
      </c>
      <c r="D47" s="11">
        <v>2962758</v>
      </c>
    </row>
  </sheetData>
  <mergeCells count="1">
    <mergeCell ref="B2:L2"/>
  </mergeCells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AA18"/>
  <sheetViews>
    <sheetView showGridLines="0" workbookViewId="0"/>
  </sheetViews>
  <sheetFormatPr defaultRowHeight="14.4"/>
  <cols>
    <col min="1" max="1" width="3" customWidth="1"/>
    <col min="2" max="2" width="30" customWidth="1"/>
    <col min="3" max="26" width="12" customWidth="1"/>
    <col min="27" max="27" width="13" customWidth="1"/>
  </cols>
  <sheetData>
    <row r="1" spans="2:27" ht="15" customHeight="1"/>
    <row r="2" spans="2:27" ht="31.95" customHeight="1">
      <c r="B2" s="63" t="s">
        <v>366</v>
      </c>
      <c r="C2" s="62"/>
      <c r="D2" s="62"/>
      <c r="E2" s="62"/>
      <c r="F2" s="62"/>
      <c r="G2" s="62"/>
      <c r="H2" s="62"/>
      <c r="I2" s="62"/>
      <c r="J2" s="62"/>
      <c r="K2" s="62"/>
      <c r="L2" s="62"/>
    </row>
    <row r="3" spans="2:27" ht="7.95" customHeight="1"/>
    <row r="4" spans="2:27" ht="28.05" customHeight="1">
      <c r="B4" s="12" t="s">
        <v>367</v>
      </c>
      <c r="C4" s="46">
        <v>1</v>
      </c>
      <c r="D4" s="46">
        <v>2</v>
      </c>
      <c r="E4" s="46">
        <v>3</v>
      </c>
      <c r="F4" s="46">
        <v>4</v>
      </c>
      <c r="G4" s="46">
        <v>5</v>
      </c>
      <c r="H4" s="46">
        <v>6</v>
      </c>
      <c r="I4" s="46">
        <v>7</v>
      </c>
      <c r="J4" s="46">
        <v>8</v>
      </c>
      <c r="K4" s="46">
        <v>9</v>
      </c>
      <c r="L4" s="46">
        <v>10</v>
      </c>
      <c r="M4" s="46">
        <v>11</v>
      </c>
      <c r="N4" s="46">
        <v>12</v>
      </c>
      <c r="O4" s="46">
        <v>13</v>
      </c>
      <c r="P4" s="46">
        <v>14</v>
      </c>
      <c r="Q4" s="46">
        <v>15</v>
      </c>
      <c r="R4" s="46">
        <v>16</v>
      </c>
      <c r="S4" s="46">
        <v>17</v>
      </c>
      <c r="T4" s="46">
        <v>18</v>
      </c>
      <c r="U4" s="46">
        <v>19</v>
      </c>
      <c r="V4" s="46">
        <v>20</v>
      </c>
      <c r="W4" s="46">
        <v>21</v>
      </c>
      <c r="X4" s="46">
        <v>22</v>
      </c>
      <c r="Y4" s="46">
        <v>23</v>
      </c>
      <c r="Z4" s="46">
        <v>24</v>
      </c>
      <c r="AA4" s="12" t="s">
        <v>368</v>
      </c>
    </row>
    <row r="5" spans="2:27" ht="19.95" customHeight="1">
      <c r="B5" s="6" t="s">
        <v>369</v>
      </c>
      <c r="C5" s="49">
        <f>Выручка!C12</f>
        <v>17.787500000000001</v>
      </c>
      <c r="D5" s="49">
        <f>Выручка!D12</f>
        <v>36.286500000000004</v>
      </c>
      <c r="E5" s="49">
        <f>Выручка!E12</f>
        <v>55.70155625000001</v>
      </c>
      <c r="F5" s="49">
        <f>Выручка!F12</f>
        <v>76.263016875000005</v>
      </c>
      <c r="G5" s="49">
        <f>Выручка!G12</f>
        <v>98.231135234375017</v>
      </c>
      <c r="H5" s="49">
        <f>Выручка!H12</f>
        <v>121.90078805625001</v>
      </c>
      <c r="I5" s="49">
        <f>Выручка!I12</f>
        <v>147.60688967457031</v>
      </c>
      <c r="J5" s="49">
        <f>Выручка!J12</f>
        <v>175.73060736514449</v>
      </c>
      <c r="K5" s="49">
        <f>Выручка!K12</f>
        <v>206.70649849733542</v>
      </c>
      <c r="L5" s="49">
        <f>Выручка!L12</f>
        <v>241.03070829798401</v>
      </c>
      <c r="M5" s="49">
        <f>Выручка!M12</f>
        <v>279.27038781742749</v>
      </c>
      <c r="N5" s="49">
        <f>Выручка!N12</f>
        <v>322.07451560105011</v>
      </c>
      <c r="O5" s="49">
        <f>Выручка!O12</f>
        <v>370.18633407166573</v>
      </c>
      <c r="P5" s="49">
        <f>Выручка!P12</f>
        <v>424.45764325635082</v>
      </c>
      <c r="Q5" s="49">
        <f>Выручка!Q12</f>
        <v>485.86523086504189</v>
      </c>
      <c r="R5" s="49">
        <f>Выручка!R12</f>
        <v>555.52975955902468</v>
      </c>
      <c r="S5" s="49">
        <f>Выручка!S12</f>
        <v>634.73748035389349</v>
      </c>
      <c r="T5" s="49">
        <f>Выручка!T12</f>
        <v>724.96519642494184</v>
      </c>
      <c r="U5" s="49">
        <f>Выручка!U12</f>
        <v>827.90896520574938</v>
      </c>
      <c r="V5" s="49">
        <f>Выручка!V12</f>
        <v>945.51709983782462</v>
      </c>
      <c r="W5" s="49">
        <f>Выручка!W12</f>
        <v>1080.0281151721506</v>
      </c>
      <c r="X5" s="49">
        <f>Выручка!X12</f>
        <v>1211.0167094135429</v>
      </c>
      <c r="Y5" s="49">
        <f>Выручка!Y12</f>
        <v>1335.4558739428658</v>
      </c>
      <c r="Z5" s="49">
        <f>Выручка!Z12</f>
        <v>1453.6730802457225</v>
      </c>
      <c r="AA5" s="49"/>
    </row>
    <row r="6" spans="2:27" ht="19.95" customHeight="1">
      <c r="B6" s="8" t="s">
        <v>370</v>
      </c>
      <c r="C6" s="50">
        <f>Выручка!C13</f>
        <v>672.8</v>
      </c>
      <c r="D6" s="50">
        <f>Выручка!D13</f>
        <v>1372.5119999999999</v>
      </c>
      <c r="E6" s="50">
        <f>Выручка!E13</f>
        <v>2106.8732000000005</v>
      </c>
      <c r="F6" s="50">
        <f>Выручка!F13</f>
        <v>2884.5963599999995</v>
      </c>
      <c r="G6" s="50">
        <f>Выручка!G13</f>
        <v>3715.5253850000008</v>
      </c>
      <c r="H6" s="50">
        <f>Выручка!H13</f>
        <v>4610.8137852</v>
      </c>
      <c r="I6" s="50">
        <f>Выручка!I13</f>
        <v>5583.1294658075003</v>
      </c>
      <c r="J6" s="50">
        <f>Выручка!J13</f>
        <v>6646.8898178647487</v>
      </c>
      <c r="K6" s="50">
        <f>Выручка!K13</f>
        <v>7818.5316761212789</v>
      </c>
      <c r="L6" s="50">
        <f>Выручка!L13</f>
        <v>9116.8213938374483</v>
      </c>
      <c r="M6" s="50">
        <f>Выручка!M13</f>
        <v>10563.211070896145</v>
      </c>
      <c r="N6" s="50">
        <f>Выручка!N13</f>
        <v>12182.247876114492</v>
      </c>
      <c r="O6" s="50">
        <f>Выручка!O13</f>
        <v>14002.044444886395</v>
      </c>
      <c r="P6" s="50">
        <f>Выручка!P13</f>
        <v>16054.819529606342</v>
      </c>
      <c r="Q6" s="50">
        <f>Выручка!Q13</f>
        <v>18377.519456134938</v>
      </c>
      <c r="R6" s="50">
        <f>Выручка!R13</f>
        <v>21012.532521788438</v>
      </c>
      <c r="S6" s="50">
        <f>Выручка!S13</f>
        <v>24008.510289928294</v>
      </c>
      <c r="T6" s="50">
        <f>Выручка!T13</f>
        <v>27421.311828795551</v>
      </c>
      <c r="U6" s="50">
        <f>Выручка!U13</f>
        <v>31315.089348723999</v>
      </c>
      <c r="V6" s="50">
        <f>Выручка!V13</f>
        <v>35763.536459361261</v>
      </c>
      <c r="W6" s="50">
        <f>Выручка!W13</f>
        <v>40851.323451177675</v>
      </c>
      <c r="X6" s="50">
        <f>Выручка!X13</f>
        <v>45805.877278618791</v>
      </c>
      <c r="Y6" s="50">
        <f>Выручка!Y13</f>
        <v>50512.70341468785</v>
      </c>
      <c r="Z6" s="50">
        <f>Выручка!Z13</f>
        <v>54984.188243953453</v>
      </c>
      <c r="AA6" s="50"/>
    </row>
    <row r="7" spans="2:27" ht="19.95" customHeight="1">
      <c r="B7" s="6" t="s">
        <v>371</v>
      </c>
      <c r="C7" s="36">
        <f>Выручка!C8*CHATS_PER_EMP</f>
        <v>25</v>
      </c>
      <c r="D7" s="36">
        <f>Выручка!D8*CHATS_PER_EMP</f>
        <v>51</v>
      </c>
      <c r="E7" s="36">
        <f>Выручка!E8*CHATS_PER_EMP</f>
        <v>78.287500000000009</v>
      </c>
      <c r="F7" s="36">
        <f>Выручка!F8*CHATS_PER_EMP</f>
        <v>107.18625</v>
      </c>
      <c r="G7" s="36">
        <f>Выручка!G8*CHATS_PER_EMP</f>
        <v>138.06203125000002</v>
      </c>
      <c r="H7" s="36">
        <f>Выручка!H8*CHATS_PER_EMP</f>
        <v>171.32928749999999</v>
      </c>
      <c r="I7" s="36">
        <f>Выручка!I8*CHATS_PER_EMP</f>
        <v>207.45873460937497</v>
      </c>
      <c r="J7" s="36">
        <f>Выручка!J8*CHATS_PER_EMP</f>
        <v>246.98609608593742</v>
      </c>
      <c r="K7" s="36">
        <f>Выручка!K8*CHATS_PER_EMP</f>
        <v>290.52213421972647</v>
      </c>
      <c r="L7" s="36">
        <f>Выручка!L8*CHATS_PER_EMP</f>
        <v>338.76417188753896</v>
      </c>
      <c r="M7" s="36">
        <f>Выручка!M8*CHATS_PER_EMP</f>
        <v>392.50932932878067</v>
      </c>
      <c r="N7" s="36">
        <f>Выручка!N8*CHATS_PER_EMP</f>
        <v>452.66973380330302</v>
      </c>
      <c r="O7" s="36">
        <f>Выручка!O8*CHATS_PER_EMP</f>
        <v>520.28999869524353</v>
      </c>
      <c r="P7" s="36">
        <f>Выручка!P8*CHATS_PER_EMP</f>
        <v>596.56731307990276</v>
      </c>
      <c r="Q7" s="36">
        <f>Выручка!Q8*CHATS_PER_EMP</f>
        <v>682.8745338932423</v>
      </c>
      <c r="R7" s="36">
        <f>Выручка!R8*CHATS_PER_EMP</f>
        <v>780.78673163601502</v>
      </c>
      <c r="S7" s="36">
        <f>Выручка!S8*CHATS_PER_EMP</f>
        <v>892.11170815726427</v>
      </c>
      <c r="T7" s="36">
        <f>Выручка!T8*CHATS_PER_EMP</f>
        <v>1018.9250828179084</v>
      </c>
      <c r="U7" s="36">
        <f>Выручка!U8*CHATS_PER_EMP</f>
        <v>1163.6106327557966</v>
      </c>
      <c r="V7" s="36">
        <f>Выручка!V8*CHATS_PER_EMP</f>
        <v>1328.906675808608</v>
      </c>
      <c r="W7" s="36">
        <f>Выручка!W8*CHATS_PER_EMP</f>
        <v>1517.9594029123689</v>
      </c>
      <c r="X7" s="36">
        <f>Выручка!X8*CHATS_PER_EMP</f>
        <v>1702.0614327667504</v>
      </c>
      <c r="Y7" s="36">
        <f>Выручка!Y8*CHATS_PER_EMP</f>
        <v>1876.9583611284129</v>
      </c>
      <c r="Z7" s="36">
        <f>Выручка!Z8*CHATS_PER_EMP</f>
        <v>2043.1104430719922</v>
      </c>
      <c r="AA7" s="36"/>
    </row>
    <row r="8" spans="2:27" ht="19.95" customHeight="1">
      <c r="B8" s="8" t="s">
        <v>372</v>
      </c>
      <c r="C8" s="38">
        <f t="shared" ref="C8:Z8" si="0">(C5*LLM_VAC+C6*LLM_INV+C7*LLM_CHAT)*LLM_BUF</f>
        <v>309.15075000000002</v>
      </c>
      <c r="D8" s="38">
        <f t="shared" si="0"/>
        <v>630.66752999999994</v>
      </c>
      <c r="E8" s="38">
        <f t="shared" si="0"/>
        <v>968.10557362500026</v>
      </c>
      <c r="F8" s="38">
        <f t="shared" si="0"/>
        <v>1325.4683830874999</v>
      </c>
      <c r="G8" s="38">
        <f t="shared" si="0"/>
        <v>1707.2792202984378</v>
      </c>
      <c r="H8" s="38">
        <f t="shared" si="0"/>
        <v>2118.6631091036252</v>
      </c>
      <c r="I8" s="38">
        <f t="shared" si="0"/>
        <v>2565.4409359415695</v>
      </c>
      <c r="J8" s="38">
        <f t="shared" si="0"/>
        <v>3054.2374737815849</v>
      </c>
      <c r="K8" s="38">
        <f t="shared" si="0"/>
        <v>3592.6054274251642</v>
      </c>
      <c r="L8" s="38">
        <f t="shared" si="0"/>
        <v>4189.167912486464</v>
      </c>
      <c r="M8" s="38">
        <f t="shared" si="0"/>
        <v>4853.7821417595815</v>
      </c>
      <c r="N8" s="38">
        <f t="shared" si="0"/>
        <v>5597.7275083036602</v>
      </c>
      <c r="O8" s="38">
        <f t="shared" si="0"/>
        <v>6433.9217325653426</v>
      </c>
      <c r="P8" s="38">
        <f t="shared" si="0"/>
        <v>7377.1692905654709</v>
      </c>
      <c r="Q8" s="38">
        <f t="shared" si="0"/>
        <v>8444.446972359854</v>
      </c>
      <c r="R8" s="38">
        <f t="shared" si="0"/>
        <v>9655.2321470129118</v>
      </c>
      <c r="S8" s="38">
        <f t="shared" si="0"/>
        <v>11031.880146423975</v>
      </c>
      <c r="T8" s="38">
        <f t="shared" si="0"/>
        <v>12600.058141878741</v>
      </c>
      <c r="U8" s="38">
        <f t="shared" si="0"/>
        <v>14389.243992977164</v>
      </c>
      <c r="V8" s="38">
        <f t="shared" si="0"/>
        <v>16433.299820249522</v>
      </c>
      <c r="W8" s="38">
        <f t="shared" si="0"/>
        <v>18771.131515196441</v>
      </c>
      <c r="X8" s="38">
        <f t="shared" si="0"/>
        <v>21047.742739436617</v>
      </c>
      <c r="Y8" s="38">
        <f t="shared" si="0"/>
        <v>23210.523402464787</v>
      </c>
      <c r="Z8" s="38">
        <f t="shared" si="0"/>
        <v>25265.165032341552</v>
      </c>
      <c r="AA8" s="38">
        <f t="shared" ref="AA8:AA15" si="1">SUM(C8:Z8)</f>
        <v>205572.11089928495</v>
      </c>
    </row>
    <row r="9" spans="2:27" ht="19.95" customHeight="1">
      <c r="B9" s="6" t="s">
        <v>373</v>
      </c>
      <c r="C9" s="36">
        <f>INFRA_FIX+INFRA_PER_EMP*(Выручка!C8+Выручка!C5)</f>
        <v>27550</v>
      </c>
      <c r="D9" s="36">
        <f>INFRA_FIX+INFRA_PER_EMP*(Выручка!D8+Выручка!D5)</f>
        <v>28600</v>
      </c>
      <c r="E9" s="36">
        <f>INFRA_FIX+INFRA_PER_EMP*(Выручка!E8+Выручка!E5)</f>
        <v>29729.125</v>
      </c>
      <c r="F9" s="36">
        <f>INFRA_FIX+INFRA_PER_EMP*(Выручка!F8+Выручка!F5)</f>
        <v>30953.162499999999</v>
      </c>
      <c r="G9" s="36">
        <f>INFRA_FIX+INFRA_PER_EMP*(Выручка!G8+Выручка!G5)</f>
        <v>32290.072187499998</v>
      </c>
      <c r="H9" s="36">
        <f>INFRA_FIX+INFRA_PER_EMP*(Выручка!H8+Выручка!H5)</f>
        <v>33760.321562500001</v>
      </c>
      <c r="I9" s="36">
        <f>INFRA_FIX+INFRA_PER_EMP*(Выручка!I8+Выручка!I5)</f>
        <v>35387.271416406249</v>
      </c>
      <c r="J9" s="36">
        <f>INFRA_FIX+INFRA_PER_EMP*(Выручка!J8+Выручка!J5)</f>
        <v>37197.61866742187</v>
      </c>
      <c r="K9" s="36">
        <f>INFRA_FIX+INFRA_PER_EMP*(Выручка!K8+Выручка!K5)</f>
        <v>39221.905179162102</v>
      </c>
      <c r="L9" s="36">
        <f>INFRA_FIX+INFRA_PER_EMP*(Выручка!L8+Выручка!L5)</f>
        <v>41495.102482082024</v>
      </c>
      <c r="M9" s="36">
        <f>INFRA_FIX+INFRA_PER_EMP*(Выручка!M8+Выручка!M5)</f>
        <v>44057.283804137653</v>
      </c>
      <c r="N9" s="36">
        <f>INFRA_FIX+INFRA_PER_EMP*(Выручка!N8+Выручка!N5)</f>
        <v>46954.396527014454</v>
      </c>
      <c r="O9" s="36">
        <f>INFRA_FIX+INFRA_PER_EMP*(Выручка!O8+Выручка!O5)</f>
        <v>50239.150150709975</v>
      </c>
      <c r="P9" s="36">
        <f>INFRA_FIX+INFRA_PER_EMP*(Выручка!P8+Выручка!P5)</f>
        <v>53972.037110727651</v>
      </c>
      <c r="Q9" s="36">
        <f>INFRA_FIX+INFRA_PER_EMP*(Выручка!Q8+Выручка!Q5)</f>
        <v>58222.506392877418</v>
      </c>
      <c r="R9" s="36">
        <f>INFRA_FIX+INFRA_PER_EMP*(Выручка!R8+Выручка!R5)</f>
        <v>63070.312881572623</v>
      </c>
      <c r="S9" s="36">
        <f>INFRA_FIX+INFRA_PER_EMP*(Выручка!S8+Выручка!S5)</f>
        <v>68607.068817083928</v>
      </c>
      <c r="T9" s="36">
        <f>INFRA_FIX+INFRA_PER_EMP*(Выручка!T8+Выручка!T5)</f>
        <v>74938.027692758158</v>
      </c>
      <c r="U9" s="36">
        <f>INFRA_FIX+INFRA_PER_EMP*(Выручка!U8+Выручка!U5)</f>
        <v>82184.13547212792</v>
      </c>
      <c r="V9" s="36">
        <f>INFRA_FIX+INFRA_PER_EMP*(Выручка!V8+Выручка!V5)</f>
        <v>90484.389237130381</v>
      </c>
      <c r="W9" s="36">
        <f>INFRA_FIX+INFRA_PER_EMP*(Выручка!W8+Выручка!W5)</f>
        <v>99998.549394674017</v>
      </c>
      <c r="X9" s="36">
        <f>INFRA_FIX+INFRA_PER_EMP*(Выручка!X8+Выручка!X5)</f>
        <v>106061.84298300251</v>
      </c>
      <c r="Y9" s="36">
        <f>INFRA_FIX+INFRA_PER_EMP*(Выручка!Y8+Выручка!Y5)</f>
        <v>111308.75083385239</v>
      </c>
      <c r="Z9" s="36">
        <f>INFRA_FIX+INFRA_PER_EMP*(Выручка!Z8+Выручка!Z5)</f>
        <v>116293.31329215977</v>
      </c>
      <c r="AA9" s="36">
        <f t="shared" si="1"/>
        <v>1402576.3435849012</v>
      </c>
    </row>
    <row r="10" spans="2:27" ht="19.95" customHeight="1">
      <c r="B10" s="8" t="s">
        <v>374</v>
      </c>
      <c r="C10" s="38">
        <f>Выручка!C5*COST_TRIAL_MKT+DIRECT_NEW*CAC_DIRECT</f>
        <v>110000</v>
      </c>
      <c r="D10" s="38">
        <f>Выручка!D5*COST_TRIAL_MKT+DIRECT_NEW*CAC_DIRECT</f>
        <v>119000</v>
      </c>
      <c r="E10" s="38">
        <f>Выручка!E5*COST_TRIAL_MKT+DIRECT_NEW*CAC_DIRECT</f>
        <v>129350</v>
      </c>
      <c r="F10" s="38">
        <f>Выручка!F5*COST_TRIAL_MKT+DIRECT_NEW*CAC_DIRECT</f>
        <v>141252.49999999997</v>
      </c>
      <c r="G10" s="38">
        <f>Выручка!G5*COST_TRIAL_MKT+DIRECT_NEW*CAC_DIRECT</f>
        <v>154940.37499999994</v>
      </c>
      <c r="H10" s="38">
        <f>Выручка!H5*COST_TRIAL_MKT+DIRECT_NEW*CAC_DIRECT</f>
        <v>170681.43124999997</v>
      </c>
      <c r="I10" s="38">
        <f>Выручка!I5*COST_TRIAL_MKT+DIRECT_NEW*CAC_DIRECT</f>
        <v>188783.64593749997</v>
      </c>
      <c r="J10" s="38">
        <f>Выручка!J5*COST_TRIAL_MKT+DIRECT_NEW*CAC_DIRECT</f>
        <v>209601.19282812491</v>
      </c>
      <c r="K10" s="38">
        <f>Выручка!K5*COST_TRIAL_MKT+DIRECT_NEW*CAC_DIRECT</f>
        <v>233541.37175234364</v>
      </c>
      <c r="L10" s="38">
        <f>Выручка!L5*COST_TRIAL_MKT+DIRECT_NEW*CAC_DIRECT</f>
        <v>261072.57751519515</v>
      </c>
      <c r="M10" s="38">
        <f>Выручка!M5*COST_TRIAL_MKT+DIRECT_NEW*CAC_DIRECT</f>
        <v>292733.46414247435</v>
      </c>
      <c r="N10" s="38">
        <f>Выручка!N5*COST_TRIAL_MKT+DIRECT_NEW*CAC_DIRECT</f>
        <v>329143.48376384558</v>
      </c>
      <c r="O10" s="38">
        <f>Выручка!O5*COST_TRIAL_MKT+DIRECT_NEW*CAC_DIRECT</f>
        <v>371015.00632842234</v>
      </c>
      <c r="P10" s="38">
        <f>Выручка!P5*COST_TRIAL_MKT+DIRECT_NEW*CAC_DIRECT</f>
        <v>419167.25727768568</v>
      </c>
      <c r="Q10" s="38">
        <f>Выручка!Q5*COST_TRIAL_MKT+DIRECT_NEW*CAC_DIRECT</f>
        <v>474542.34586933855</v>
      </c>
      <c r="R10" s="38">
        <f>Выручка!R5*COST_TRIAL_MKT+DIRECT_NEW*CAC_DIRECT</f>
        <v>538223.69774973916</v>
      </c>
      <c r="S10" s="38">
        <f>Выручка!S5*COST_TRIAL_MKT+DIRECT_NEW*CAC_DIRECT</f>
        <v>611457.25241219997</v>
      </c>
      <c r="T10" s="38">
        <f>Выручка!T5*COST_TRIAL_MKT+DIRECT_NEW*CAC_DIRECT</f>
        <v>695675.84027402999</v>
      </c>
      <c r="U10" s="38">
        <f>Выручка!U5*COST_TRIAL_MKT+DIRECT_NEW*CAC_DIRECT</f>
        <v>792527.21631513431</v>
      </c>
      <c r="V10" s="38">
        <f>Выручка!V5*COST_TRIAL_MKT+DIRECT_NEW*CAC_DIRECT</f>
        <v>903906.29876240436</v>
      </c>
      <c r="W10" s="38">
        <f>Выручка!W5*COST_TRIAL_MKT+DIRECT_NEW*CAC_DIRECT</f>
        <v>1031992.2435767649</v>
      </c>
      <c r="X10" s="38">
        <f>Выручка!X5*COST_TRIAL_MKT+DIRECT_NEW*CAC_DIRECT</f>
        <v>1050000</v>
      </c>
      <c r="Y10" s="38">
        <f>Выручка!Y5*COST_TRIAL_MKT+DIRECT_NEW*CAC_DIRECT</f>
        <v>1050000</v>
      </c>
      <c r="Z10" s="38">
        <f>Выручка!Z5*COST_TRIAL_MKT+DIRECT_NEW*CAC_DIRECT</f>
        <v>1050000</v>
      </c>
      <c r="AA10" s="38">
        <f t="shared" si="1"/>
        <v>11328607.200755203</v>
      </c>
    </row>
    <row r="11" spans="2:27" ht="19.95" customHeight="1">
      <c r="B11" s="6" t="s">
        <v>375</v>
      </c>
      <c r="C11" s="36">
        <f>ACQ*Выручка!C18</f>
        <v>1883.7881475000002</v>
      </c>
      <c r="D11" s="36">
        <f>ACQ*Выручка!D18</f>
        <v>3842.9278209000004</v>
      </c>
      <c r="E11" s="36">
        <f>ACQ*Выручка!E18</f>
        <v>5899.082583896251</v>
      </c>
      <c r="F11" s="36">
        <f>ACQ*Выручка!F18</f>
        <v>8076.6474929988744</v>
      </c>
      <c r="G11" s="36">
        <f>ACQ*Выручка!G18</f>
        <v>10403.184723540988</v>
      </c>
      <c r="H11" s="36">
        <f>ACQ*Выручка!H18</f>
        <v>12909.923244484797</v>
      </c>
      <c r="I11" s="36">
        <f>ACQ*Выручка!I18</f>
        <v>15632.332214099548</v>
      </c>
      <c r="J11" s="36">
        <f>ACQ*Выручка!J18</f>
        <v>18610.779216159401</v>
      </c>
      <c r="K11" s="36">
        <f>ACQ*Выручка!K18</f>
        <v>21891.286121180994</v>
      </c>
      <c r="L11" s="36">
        <f>ACQ*Выручка!L18</f>
        <v>25526.397271975944</v>
      </c>
      <c r="M11" s="36">
        <f>ACQ*Выручка!M18</f>
        <v>29576.176894909247</v>
      </c>
      <c r="N11" s="36">
        <f>ACQ*Выручка!N18</f>
        <v>34109.355170825693</v>
      </c>
      <c r="O11" s="36">
        <f>ACQ*Выручка!O18</f>
        <v>39204.645312195615</v>
      </c>
      <c r="P11" s="36">
        <f>ACQ*Выручка!P18</f>
        <v>44952.257342633704</v>
      </c>
      <c r="Q11" s="36">
        <f>ACQ*Выручка!Q18</f>
        <v>51455.638127107071</v>
      </c>
      <c r="R11" s="36">
        <f>ACQ*Выручка!R18</f>
        <v>58833.471631247536</v>
      </c>
      <c r="S11" s="36">
        <f>ACQ*Выручка!S18</f>
        <v>67221.978482905339</v>
      </c>
      <c r="T11" s="36">
        <f>ACQ*Выручка!T18</f>
        <v>76777.559768113279</v>
      </c>
      <c r="U11" s="36">
        <f>ACQ*Выручка!U18</f>
        <v>87679.836731613788</v>
      </c>
      <c r="V11" s="36">
        <f>ACQ*Выручка!V18</f>
        <v>100135.14580087524</v>
      </c>
      <c r="W11" s="36">
        <f>ACQ*Выручка!W18</f>
        <v>114380.5572636999</v>
      </c>
      <c r="X11" s="36">
        <f>ACQ*Выручка!X18</f>
        <v>128252.92613451493</v>
      </c>
      <c r="Y11" s="36">
        <f>ACQ*Выручка!Y18</f>
        <v>141431.67656178915</v>
      </c>
      <c r="Z11" s="36">
        <f>ACQ*Выручка!Z18</f>
        <v>153951.48946769972</v>
      </c>
      <c r="AA11" s="36">
        <f t="shared" si="1"/>
        <v>1252639.0635268672</v>
      </c>
    </row>
    <row r="12" spans="2:27" ht="19.95" customHeight="1">
      <c r="B12" s="8" t="s">
        <v>376</v>
      </c>
      <c r="C12" s="38">
        <f t="shared" ref="C12:Z12" si="2">IF(C$4&lt;=6,PAYROLL_EARLY,PAYROLL_LATE)</f>
        <v>600000</v>
      </c>
      <c r="D12" s="38">
        <f t="shared" si="2"/>
        <v>600000</v>
      </c>
      <c r="E12" s="38">
        <f t="shared" si="2"/>
        <v>600000</v>
      </c>
      <c r="F12" s="38">
        <f t="shared" si="2"/>
        <v>600000</v>
      </c>
      <c r="G12" s="38">
        <f t="shared" si="2"/>
        <v>600000</v>
      </c>
      <c r="H12" s="38">
        <f t="shared" si="2"/>
        <v>600000</v>
      </c>
      <c r="I12" s="38">
        <f t="shared" si="2"/>
        <v>1150000</v>
      </c>
      <c r="J12" s="38">
        <f t="shared" si="2"/>
        <v>1150000</v>
      </c>
      <c r="K12" s="38">
        <f t="shared" si="2"/>
        <v>1150000</v>
      </c>
      <c r="L12" s="38">
        <f t="shared" si="2"/>
        <v>1150000</v>
      </c>
      <c r="M12" s="38">
        <f t="shared" si="2"/>
        <v>1150000</v>
      </c>
      <c r="N12" s="38">
        <f t="shared" si="2"/>
        <v>1150000</v>
      </c>
      <c r="O12" s="38">
        <f t="shared" si="2"/>
        <v>1150000</v>
      </c>
      <c r="P12" s="38">
        <f t="shared" si="2"/>
        <v>1150000</v>
      </c>
      <c r="Q12" s="38">
        <f t="shared" si="2"/>
        <v>1150000</v>
      </c>
      <c r="R12" s="38">
        <f t="shared" si="2"/>
        <v>1150000</v>
      </c>
      <c r="S12" s="38">
        <f t="shared" si="2"/>
        <v>1150000</v>
      </c>
      <c r="T12" s="38">
        <f t="shared" si="2"/>
        <v>1150000</v>
      </c>
      <c r="U12" s="38">
        <f t="shared" si="2"/>
        <v>1150000</v>
      </c>
      <c r="V12" s="38">
        <f t="shared" si="2"/>
        <v>1150000</v>
      </c>
      <c r="W12" s="38">
        <f t="shared" si="2"/>
        <v>1150000</v>
      </c>
      <c r="X12" s="38">
        <f t="shared" si="2"/>
        <v>1150000</v>
      </c>
      <c r="Y12" s="38">
        <f t="shared" si="2"/>
        <v>1150000</v>
      </c>
      <c r="Z12" s="38">
        <f t="shared" si="2"/>
        <v>1150000</v>
      </c>
      <c r="AA12" s="38">
        <f t="shared" si="1"/>
        <v>24300000</v>
      </c>
    </row>
    <row r="13" spans="2:27" ht="19.95" customHeight="1">
      <c r="B13" s="6" t="s">
        <v>377</v>
      </c>
      <c r="C13" s="36">
        <f t="shared" ref="C13:Z13" si="3">OPEX_OTHER</f>
        <v>40000</v>
      </c>
      <c r="D13" s="36">
        <f t="shared" si="3"/>
        <v>40000</v>
      </c>
      <c r="E13" s="36">
        <f t="shared" si="3"/>
        <v>40000</v>
      </c>
      <c r="F13" s="36">
        <f t="shared" si="3"/>
        <v>40000</v>
      </c>
      <c r="G13" s="36">
        <f t="shared" si="3"/>
        <v>40000</v>
      </c>
      <c r="H13" s="36">
        <f t="shared" si="3"/>
        <v>40000</v>
      </c>
      <c r="I13" s="36">
        <f t="shared" si="3"/>
        <v>40000</v>
      </c>
      <c r="J13" s="36">
        <f t="shared" si="3"/>
        <v>40000</v>
      </c>
      <c r="K13" s="36">
        <f t="shared" si="3"/>
        <v>40000</v>
      </c>
      <c r="L13" s="36">
        <f t="shared" si="3"/>
        <v>40000</v>
      </c>
      <c r="M13" s="36">
        <f t="shared" si="3"/>
        <v>40000</v>
      </c>
      <c r="N13" s="36">
        <f t="shared" si="3"/>
        <v>40000</v>
      </c>
      <c r="O13" s="36">
        <f t="shared" si="3"/>
        <v>40000</v>
      </c>
      <c r="P13" s="36">
        <f t="shared" si="3"/>
        <v>40000</v>
      </c>
      <c r="Q13" s="36">
        <f t="shared" si="3"/>
        <v>40000</v>
      </c>
      <c r="R13" s="36">
        <f t="shared" si="3"/>
        <v>40000</v>
      </c>
      <c r="S13" s="36">
        <f t="shared" si="3"/>
        <v>40000</v>
      </c>
      <c r="T13" s="36">
        <f t="shared" si="3"/>
        <v>40000</v>
      </c>
      <c r="U13" s="36">
        <f t="shared" si="3"/>
        <v>40000</v>
      </c>
      <c r="V13" s="36">
        <f t="shared" si="3"/>
        <v>40000</v>
      </c>
      <c r="W13" s="36">
        <f t="shared" si="3"/>
        <v>40000</v>
      </c>
      <c r="X13" s="36">
        <f t="shared" si="3"/>
        <v>40000</v>
      </c>
      <c r="Y13" s="36">
        <f t="shared" si="3"/>
        <v>40000</v>
      </c>
      <c r="Z13" s="36">
        <f t="shared" si="3"/>
        <v>40000</v>
      </c>
      <c r="AA13" s="36">
        <f t="shared" si="1"/>
        <v>960000</v>
      </c>
    </row>
    <row r="14" spans="2:27" ht="19.95" customHeight="1">
      <c r="B14" s="47" t="s">
        <v>378</v>
      </c>
      <c r="C14" s="48">
        <f t="shared" ref="C14:Z14" si="4">SUM(C8:C13)</f>
        <v>779742.93889750005</v>
      </c>
      <c r="D14" s="48">
        <f t="shared" si="4"/>
        <v>792073.59535089997</v>
      </c>
      <c r="E14" s="48">
        <f t="shared" si="4"/>
        <v>805946.3131575213</v>
      </c>
      <c r="F14" s="48">
        <f t="shared" si="4"/>
        <v>821607.77837608638</v>
      </c>
      <c r="G14" s="48">
        <f t="shared" si="4"/>
        <v>839340.91113133938</v>
      </c>
      <c r="H14" s="48">
        <f t="shared" si="4"/>
        <v>859470.33916608838</v>
      </c>
      <c r="I14" s="48">
        <f t="shared" si="4"/>
        <v>1432368.6905039474</v>
      </c>
      <c r="J14" s="48">
        <f t="shared" si="4"/>
        <v>1458463.8281854878</v>
      </c>
      <c r="K14" s="48">
        <f t="shared" si="4"/>
        <v>1488247.1684801118</v>
      </c>
      <c r="L14" s="48">
        <f t="shared" si="4"/>
        <v>1522283.2451817396</v>
      </c>
      <c r="M14" s="48">
        <f t="shared" si="4"/>
        <v>1561220.7069832808</v>
      </c>
      <c r="N14" s="48">
        <f t="shared" si="4"/>
        <v>1605804.9629699893</v>
      </c>
      <c r="O14" s="48">
        <f t="shared" si="4"/>
        <v>1656892.7235238934</v>
      </c>
      <c r="P14" s="48">
        <f t="shared" si="4"/>
        <v>1715468.7210216126</v>
      </c>
      <c r="Q14" s="48">
        <f t="shared" si="4"/>
        <v>1782664.9373616828</v>
      </c>
      <c r="R14" s="48">
        <f t="shared" si="4"/>
        <v>1859782.7144095723</v>
      </c>
      <c r="S14" s="48">
        <f t="shared" si="4"/>
        <v>1948318.1798586133</v>
      </c>
      <c r="T14" s="48">
        <f t="shared" si="4"/>
        <v>2049991.4858767802</v>
      </c>
      <c r="U14" s="48">
        <f t="shared" si="4"/>
        <v>2166780.4325118531</v>
      </c>
      <c r="V14" s="48">
        <f t="shared" si="4"/>
        <v>2300959.1336206598</v>
      </c>
      <c r="W14" s="48">
        <f t="shared" si="4"/>
        <v>2455142.4817503355</v>
      </c>
      <c r="X14" s="48">
        <f t="shared" si="4"/>
        <v>2495362.5118569541</v>
      </c>
      <c r="Y14" s="48">
        <f t="shared" si="4"/>
        <v>2515950.9507981064</v>
      </c>
      <c r="Z14" s="48">
        <f t="shared" si="4"/>
        <v>2535509.9677922009</v>
      </c>
      <c r="AA14" s="48">
        <f t="shared" si="1"/>
        <v>39449394.71876625</v>
      </c>
    </row>
    <row r="15" spans="2:27" ht="19.95" customHeight="1">
      <c r="B15" s="47" t="s">
        <v>365</v>
      </c>
      <c r="C15" s="48">
        <f>Выручка!C18-C14</f>
        <v>-712464.79077249998</v>
      </c>
      <c r="D15" s="48">
        <f>Выручка!D18-D14</f>
        <v>-654826.17317590001</v>
      </c>
      <c r="E15" s="48">
        <f>Выручка!E18-E14</f>
        <v>-595264.7923040837</v>
      </c>
      <c r="F15" s="48">
        <f>Выручка!F18-F14</f>
        <v>-533156.08219755511</v>
      </c>
      <c r="G15" s="48">
        <f>Выручка!G18-G14</f>
        <v>-467798.59957630414</v>
      </c>
      <c r="H15" s="48">
        <f>Выручка!H18-H14</f>
        <v>-398401.65186305996</v>
      </c>
      <c r="I15" s="48">
        <f>Выручка!I18-I14</f>
        <v>-874071.1114289636</v>
      </c>
      <c r="J15" s="48">
        <f>Выручка!J18-J14</f>
        <v>-793793.14189408056</v>
      </c>
      <c r="K15" s="48">
        <f>Выручка!K18-K14</f>
        <v>-706415.52129507624</v>
      </c>
      <c r="L15" s="48">
        <f>Выручка!L18-L14</f>
        <v>-610626.1997540273</v>
      </c>
      <c r="M15" s="48">
        <f>Выручка!M18-M14</f>
        <v>-504928.6750222363</v>
      </c>
      <c r="N15" s="48">
        <f>Выручка!N18-N14</f>
        <v>-387613.70686907158</v>
      </c>
      <c r="O15" s="48">
        <f>Выручка!O18-O14</f>
        <v>-256726.81951690721</v>
      </c>
      <c r="P15" s="48">
        <f>Выручка!P18-P14</f>
        <v>-110030.95878469478</v>
      </c>
      <c r="Q15" s="48">
        <f>Выручка!Q18-Q14</f>
        <v>55036.424320712686</v>
      </c>
      <c r="R15" s="48">
        <f>Выручка!R18-R14</f>
        <v>241412.70099212532</v>
      </c>
      <c r="S15" s="48">
        <f>Выручка!S18-S14</f>
        <v>452466.76595943468</v>
      </c>
      <c r="T15" s="48">
        <f>Выручка!T18-T14</f>
        <v>692064.2201272652</v>
      </c>
      <c r="U15" s="48">
        <f>Выручка!U18-U14</f>
        <v>964642.30790292518</v>
      </c>
      <c r="V15" s="48">
        <f>Выручка!V18-V14</f>
        <v>1275296.073553456</v>
      </c>
      <c r="W15" s="48">
        <f>Выручка!W18-W14</f>
        <v>1629877.420524661</v>
      </c>
      <c r="X15" s="48">
        <f>Выручка!X18-X14</f>
        <v>2085099.1358042932</v>
      </c>
      <c r="Y15" s="48">
        <f>Выручка!Y18-Y14</f>
        <v>2535180.3549800776</v>
      </c>
      <c r="Z15" s="48">
        <f>Выручка!Z18-Z14</f>
        <v>2962757.5131970746</v>
      </c>
      <c r="AA15" s="48">
        <f t="shared" si="1"/>
        <v>5287714.6929075653</v>
      </c>
    </row>
    <row r="16" spans="2:27" ht="19.95" customHeight="1">
      <c r="B16" s="8" t="s">
        <v>379</v>
      </c>
      <c r="C16" s="51">
        <f>C15</f>
        <v>-712464.79077249998</v>
      </c>
      <c r="D16" s="51">
        <f t="shared" ref="D16:Z16" si="5">C16+D15</f>
        <v>-1367290.9639484</v>
      </c>
      <c r="E16" s="51">
        <f t="shared" si="5"/>
        <v>-1962555.7562524837</v>
      </c>
      <c r="F16" s="51">
        <f t="shared" si="5"/>
        <v>-2495711.8384500388</v>
      </c>
      <c r="G16" s="51">
        <f t="shared" si="5"/>
        <v>-2963510.438026343</v>
      </c>
      <c r="H16" s="51">
        <f t="shared" si="5"/>
        <v>-3361912.089889403</v>
      </c>
      <c r="I16" s="51">
        <f t="shared" si="5"/>
        <v>-4235983.2013183665</v>
      </c>
      <c r="J16" s="51">
        <f t="shared" si="5"/>
        <v>-5029776.3432124471</v>
      </c>
      <c r="K16" s="51">
        <f t="shared" si="5"/>
        <v>-5736191.8645075234</v>
      </c>
      <c r="L16" s="51">
        <f t="shared" si="5"/>
        <v>-6346818.064261551</v>
      </c>
      <c r="M16" s="51">
        <f t="shared" si="5"/>
        <v>-6851746.7392837871</v>
      </c>
      <c r="N16" s="51">
        <f t="shared" si="5"/>
        <v>-7239360.4461528584</v>
      </c>
      <c r="O16" s="51">
        <f t="shared" si="5"/>
        <v>-7496087.2656697659</v>
      </c>
      <c r="P16" s="51">
        <f t="shared" si="5"/>
        <v>-7606118.2244544607</v>
      </c>
      <c r="Q16" s="51">
        <f t="shared" si="5"/>
        <v>-7551081.800133748</v>
      </c>
      <c r="R16" s="51">
        <f t="shared" si="5"/>
        <v>-7309669.0991416229</v>
      </c>
      <c r="S16" s="51">
        <f t="shared" si="5"/>
        <v>-6857202.3331821878</v>
      </c>
      <c r="T16" s="51">
        <f t="shared" si="5"/>
        <v>-6165138.1130549228</v>
      </c>
      <c r="U16" s="51">
        <f t="shared" si="5"/>
        <v>-5200495.8051519971</v>
      </c>
      <c r="V16" s="51">
        <f t="shared" si="5"/>
        <v>-3925199.7315985411</v>
      </c>
      <c r="W16" s="51">
        <f t="shared" si="5"/>
        <v>-2295322.3110738802</v>
      </c>
      <c r="X16" s="51">
        <f t="shared" si="5"/>
        <v>-210223.17526958697</v>
      </c>
      <c r="Y16" s="51">
        <f t="shared" si="5"/>
        <v>2324957.1797104906</v>
      </c>
      <c r="Z16" s="51">
        <f t="shared" si="5"/>
        <v>5287714.6929075653</v>
      </c>
      <c r="AA16" s="51">
        <f>Z16</f>
        <v>5287714.6929075653</v>
      </c>
    </row>
    <row r="18" spans="2:12">
      <c r="B18" s="69" t="s">
        <v>380</v>
      </c>
      <c r="C18" s="62"/>
      <c r="D18" s="62"/>
      <c r="E18" s="62"/>
      <c r="F18" s="62"/>
      <c r="G18" s="62"/>
      <c r="H18" s="62"/>
      <c r="I18" s="62"/>
      <c r="J18" s="62"/>
      <c r="K18" s="62"/>
      <c r="L18" s="62"/>
    </row>
  </sheetData>
  <mergeCells count="2">
    <mergeCell ref="B2:L2"/>
    <mergeCell ref="B18:L1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D18"/>
  <sheetViews>
    <sheetView showGridLines="0" workbookViewId="0"/>
  </sheetViews>
  <sheetFormatPr defaultRowHeight="14.4"/>
  <cols>
    <col min="1" max="1" width="3" customWidth="1"/>
    <col min="2" max="2" width="40" customWidth="1"/>
    <col min="3" max="3" width="15" customWidth="1"/>
    <col min="4" max="4" width="48" customWidth="1"/>
  </cols>
  <sheetData>
    <row r="1" spans="2:4" ht="15" customHeight="1"/>
    <row r="2" spans="2:4" ht="31.95" customHeight="1">
      <c r="B2" s="63" t="s">
        <v>381</v>
      </c>
      <c r="C2" s="62"/>
      <c r="D2" s="62"/>
    </row>
    <row r="3" spans="2:4" ht="7.95" customHeight="1"/>
    <row r="4" spans="2:4" ht="28.05" customHeight="1">
      <c r="B4" s="12" t="s">
        <v>162</v>
      </c>
      <c r="C4" s="12" t="s">
        <v>25</v>
      </c>
      <c r="D4" s="12" t="s">
        <v>330</v>
      </c>
    </row>
    <row r="5" spans="2:4" ht="37.950000000000003" customHeight="1">
      <c r="B5" s="6" t="s">
        <v>382</v>
      </c>
      <c r="C5" s="24">
        <f>CASUAL_SH*CASUAL_ACT*(VAC_PER_EMP*VAC_AVG+INV_PER_EMP_CAS*INV_PRICE)+SUB_START_SH*SUB_START+SUB_BIZ_SH*SUB_BIZ</f>
        <v>5368.0929999999998</v>
      </c>
      <c r="D5" s="15" t="s">
        <v>383</v>
      </c>
    </row>
    <row r="6" spans="2:4" ht="22.05" customHeight="1">
      <c r="B6" s="8" t="s">
        <v>384</v>
      </c>
      <c r="C6" s="40">
        <f>CASUAL_SH*CASUAL_ACT*VAC_PER_EMP+SUB_START_SH*VAC_PER_EMP_SUB+SUB_BIZ_SH*VAC_PER_EMP_BIZ</f>
        <v>1.423</v>
      </c>
      <c r="D6" s="18" t="s">
        <v>385</v>
      </c>
    </row>
    <row r="7" spans="2:4" ht="22.05" customHeight="1">
      <c r="B7" s="6" t="s">
        <v>386</v>
      </c>
      <c r="C7" s="39">
        <f>CASUAL_SH*CASUAL_ACT*INV_PER_EMP_CAS+SUB_START_SH*INV_PER_EMP_SUB+SUB_BIZ_SH*INV_PER_EMP_BIZ</f>
        <v>53.823999999999998</v>
      </c>
      <c r="D7" s="15" t="s">
        <v>385</v>
      </c>
    </row>
    <row r="8" spans="2:4" ht="22.05" customHeight="1">
      <c r="B8" s="8" t="s">
        <v>387</v>
      </c>
      <c r="C8" s="31">
        <f>(C6*LLM_VAC+C7*LLM_INV+CHATS_PER_EMP*LLM_CHAT)*LLM_BUF</f>
        <v>24.732059999999997</v>
      </c>
      <c r="D8" s="18" t="s">
        <v>388</v>
      </c>
    </row>
    <row r="9" spans="2:4" ht="37.950000000000003" customHeight="1">
      <c r="B9" s="6" t="s">
        <v>389</v>
      </c>
      <c r="C9" s="32">
        <f>INFRA_PER_EMP+C8+ACQ*C5</f>
        <v>235.03866399999998</v>
      </c>
      <c r="D9" s="15" t="s">
        <v>390</v>
      </c>
    </row>
    <row r="10" spans="2:4" ht="37.950000000000003" customHeight="1">
      <c r="B10" s="8" t="s">
        <v>391</v>
      </c>
      <c r="C10" s="35">
        <f>C5-C9</f>
        <v>5133.0543360000001</v>
      </c>
      <c r="D10" s="18" t="s">
        <v>392</v>
      </c>
    </row>
    <row r="11" spans="2:4" ht="22.05" customHeight="1">
      <c r="B11" s="6" t="s">
        <v>393</v>
      </c>
      <c r="C11" s="26">
        <f>IF(C5=0,0,C10/C5)</f>
        <v>0.95621561250894871</v>
      </c>
      <c r="D11" s="15" t="s">
        <v>394</v>
      </c>
    </row>
    <row r="12" spans="2:4" ht="22.05" customHeight="1">
      <c r="B12" s="8" t="s">
        <v>395</v>
      </c>
      <c r="C12" s="43">
        <f>CHURN</f>
        <v>0.05</v>
      </c>
      <c r="D12" s="18" t="s">
        <v>396</v>
      </c>
    </row>
    <row r="13" spans="2:4" ht="22.05" customHeight="1">
      <c r="B13" s="6" t="s">
        <v>397</v>
      </c>
      <c r="C13" s="39">
        <f>IF(CHURN=0,0,1/CHURN)</f>
        <v>20</v>
      </c>
      <c r="D13" s="15" t="s">
        <v>398</v>
      </c>
    </row>
    <row r="14" spans="2:4" ht="22.05" customHeight="1">
      <c r="B14" s="8" t="s">
        <v>399</v>
      </c>
      <c r="C14" s="35">
        <f>C10*C13</f>
        <v>102661.08672000001</v>
      </c>
      <c r="D14" s="18" t="s">
        <v>400</v>
      </c>
    </row>
    <row r="15" spans="2:4" ht="22.05" customHeight="1">
      <c r="B15" s="6" t="s">
        <v>401</v>
      </c>
      <c r="C15" s="52">
        <f>AVERAGE(Затраты!I10:N10)/AVERAGE(Выручка!I6:N6)</f>
        <v>8329.9250844196958</v>
      </c>
      <c r="D15" s="15" t="s">
        <v>402</v>
      </c>
    </row>
    <row r="16" spans="2:4" ht="22.05" customHeight="1">
      <c r="B16" s="8" t="s">
        <v>8</v>
      </c>
      <c r="C16" s="53">
        <f>IF(C15=0,0,C14/C15)</f>
        <v>12.324370949267895</v>
      </c>
      <c r="D16" s="18" t="s">
        <v>342</v>
      </c>
    </row>
    <row r="17" spans="2:4" ht="22.05" customHeight="1">
      <c r="B17" s="6" t="s">
        <v>403</v>
      </c>
      <c r="C17" s="39">
        <f>IF(C10=0,0,C15/C10)</f>
        <v>1.6228008782215424</v>
      </c>
      <c r="D17" s="15" t="s">
        <v>404</v>
      </c>
    </row>
    <row r="18" spans="2:4" ht="22.05" customHeight="1">
      <c r="B18" s="8" t="s">
        <v>405</v>
      </c>
      <c r="C18" s="35">
        <f>C5*12</f>
        <v>64417.115999999995</v>
      </c>
      <c r="D18" s="18" t="s">
        <v>406</v>
      </c>
    </row>
  </sheetData>
  <mergeCells count="1">
    <mergeCell ref="B2:D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D38"/>
  <sheetViews>
    <sheetView showGridLines="0" workbookViewId="0"/>
  </sheetViews>
  <sheetFormatPr defaultRowHeight="14.4"/>
  <cols>
    <col min="1" max="1" width="3" customWidth="1"/>
    <col min="2" max="2" width="48" customWidth="1"/>
    <col min="3" max="3" width="17" customWidth="1"/>
    <col min="4" max="4" width="55" customWidth="1"/>
  </cols>
  <sheetData>
    <row r="1" spans="2:4" ht="15" customHeight="1"/>
    <row r="2" spans="2:4" ht="31.95" customHeight="1">
      <c r="B2" s="63" t="s">
        <v>407</v>
      </c>
      <c r="C2" s="62"/>
      <c r="D2" s="62"/>
    </row>
    <row r="3" spans="2:4" ht="7.95" customHeight="1"/>
    <row r="4" spans="2:4" ht="28.05" customHeight="1">
      <c r="B4" s="12" t="s">
        <v>162</v>
      </c>
      <c r="C4" s="12" t="s">
        <v>25</v>
      </c>
      <c r="D4" s="12" t="s">
        <v>330</v>
      </c>
    </row>
    <row r="5" spans="2:4" ht="37.950000000000003" customHeight="1">
      <c r="B5" s="6" t="s">
        <v>408</v>
      </c>
      <c r="C5" s="24">
        <f>PAYROLL_LATE+INFRA_FIX+OPEX_OTHER</f>
        <v>1215000</v>
      </c>
      <c r="D5" s="15" t="s">
        <v>409</v>
      </c>
    </row>
    <row r="6" spans="2:4" ht="22.05" customHeight="1">
      <c r="B6" s="8" t="s">
        <v>391</v>
      </c>
      <c r="C6" s="44">
        <f>'Юнит-экономика'!C10</f>
        <v>5133.0543360000001</v>
      </c>
      <c r="D6" s="18" t="s">
        <v>410</v>
      </c>
    </row>
    <row r="7" spans="2:4" ht="37.950000000000003" customHeight="1">
      <c r="B7" s="6" t="s">
        <v>411</v>
      </c>
      <c r="C7" s="36">
        <f>ROUNDUP(C5/C6+0.001,0)</f>
        <v>237</v>
      </c>
      <c r="D7" s="15" t="s">
        <v>412</v>
      </c>
    </row>
    <row r="8" spans="2:4" ht="22.05" customHeight="1">
      <c r="B8" s="8" t="s">
        <v>7</v>
      </c>
      <c r="C8" s="50">
        <f>IF(COUNTIF(Затраты!C15:Z15,"&lt;=0")&gt;=24,"не достигается",COUNTIF(Затраты!C15:Z15,"&lt;=0")+1)</f>
        <v>15</v>
      </c>
      <c r="D8" s="18" t="s">
        <v>413</v>
      </c>
    </row>
    <row r="9" spans="2:4" ht="22.05" customHeight="1">
      <c r="B9" s="6" t="s">
        <v>414</v>
      </c>
      <c r="C9" s="49">
        <f>Выручка!Z8</f>
        <v>1021.5552215359961</v>
      </c>
      <c r="D9" s="15" t="s">
        <v>415</v>
      </c>
    </row>
    <row r="10" spans="2:4" ht="37.950000000000003" customHeight="1">
      <c r="B10" s="8" t="s">
        <v>416</v>
      </c>
      <c r="C10" s="44">
        <f>MIN(Затраты!C16:Z16)</f>
        <v>-7606118.2244544607</v>
      </c>
      <c r="D10" s="18" t="s">
        <v>417</v>
      </c>
    </row>
    <row r="13" spans="2:4">
      <c r="B13" s="10" t="s">
        <v>363</v>
      </c>
    </row>
    <row r="14" spans="2:4">
      <c r="B14" s="10" t="s">
        <v>364</v>
      </c>
      <c r="C14" s="10" t="s">
        <v>18</v>
      </c>
      <c r="D14" s="10" t="s">
        <v>418</v>
      </c>
    </row>
    <row r="15" spans="2:4">
      <c r="B15" s="10">
        <v>1</v>
      </c>
      <c r="C15" s="11">
        <v>67278</v>
      </c>
      <c r="D15" s="11">
        <v>779743</v>
      </c>
    </row>
    <row r="16" spans="2:4">
      <c r="B16" s="10">
        <v>2</v>
      </c>
      <c r="C16" s="11">
        <v>137247</v>
      </c>
      <c r="D16" s="11">
        <v>792074</v>
      </c>
    </row>
    <row r="17" spans="2:4">
      <c r="B17" s="10">
        <v>3</v>
      </c>
      <c r="C17" s="11">
        <v>210682</v>
      </c>
      <c r="D17" s="11">
        <v>805946</v>
      </c>
    </row>
    <row r="18" spans="2:4">
      <c r="B18" s="10">
        <v>4</v>
      </c>
      <c r="C18" s="11">
        <v>288452</v>
      </c>
      <c r="D18" s="11">
        <v>821608</v>
      </c>
    </row>
    <row r="19" spans="2:4">
      <c r="B19" s="10">
        <v>5</v>
      </c>
      <c r="C19" s="11">
        <v>371542</v>
      </c>
      <c r="D19" s="11">
        <v>839341</v>
      </c>
    </row>
    <row r="20" spans="2:4">
      <c r="B20" s="10">
        <v>6</v>
      </c>
      <c r="C20" s="11">
        <v>461069</v>
      </c>
      <c r="D20" s="11">
        <v>859470</v>
      </c>
    </row>
    <row r="21" spans="2:4">
      <c r="B21" s="10">
        <v>7</v>
      </c>
      <c r="C21" s="11">
        <v>558298</v>
      </c>
      <c r="D21" s="11">
        <v>1432369</v>
      </c>
    </row>
    <row r="22" spans="2:4">
      <c r="B22" s="10">
        <v>8</v>
      </c>
      <c r="C22" s="11">
        <v>664671</v>
      </c>
      <c r="D22" s="11">
        <v>1458464</v>
      </c>
    </row>
    <row r="23" spans="2:4">
      <c r="B23" s="10">
        <v>9</v>
      </c>
      <c r="C23" s="11">
        <v>781832</v>
      </c>
      <c r="D23" s="11">
        <v>1488247</v>
      </c>
    </row>
    <row r="24" spans="2:4">
      <c r="B24" s="10">
        <v>10</v>
      </c>
      <c r="C24" s="11">
        <v>911657</v>
      </c>
      <c r="D24" s="11">
        <v>1522283</v>
      </c>
    </row>
    <row r="25" spans="2:4">
      <c r="B25" s="10">
        <v>11</v>
      </c>
      <c r="C25" s="11">
        <v>1056292</v>
      </c>
      <c r="D25" s="11">
        <v>1561221</v>
      </c>
    </row>
    <row r="26" spans="2:4">
      <c r="B26" s="10">
        <v>12</v>
      </c>
      <c r="C26" s="11">
        <v>1218191</v>
      </c>
      <c r="D26" s="11">
        <v>1605805</v>
      </c>
    </row>
    <row r="27" spans="2:4">
      <c r="B27" s="10">
        <v>13</v>
      </c>
      <c r="C27" s="11">
        <v>1400166</v>
      </c>
      <c r="D27" s="11">
        <v>1656893</v>
      </c>
    </row>
    <row r="28" spans="2:4">
      <c r="B28" s="10">
        <v>14</v>
      </c>
      <c r="C28" s="11">
        <v>1605438</v>
      </c>
      <c r="D28" s="11">
        <v>1715469</v>
      </c>
    </row>
    <row r="29" spans="2:4">
      <c r="B29" s="10">
        <v>15</v>
      </c>
      <c r="C29" s="11">
        <v>1837701</v>
      </c>
      <c r="D29" s="11">
        <v>1782665</v>
      </c>
    </row>
    <row r="30" spans="2:4">
      <c r="B30" s="10">
        <v>16</v>
      </c>
      <c r="C30" s="11">
        <v>2101195</v>
      </c>
      <c r="D30" s="11">
        <v>1859783</v>
      </c>
    </row>
    <row r="31" spans="2:4">
      <c r="B31" s="10">
        <v>17</v>
      </c>
      <c r="C31" s="11">
        <v>2400785</v>
      </c>
      <c r="D31" s="11">
        <v>1948318</v>
      </c>
    </row>
    <row r="32" spans="2:4">
      <c r="B32" s="10">
        <v>18</v>
      </c>
      <c r="C32" s="11">
        <v>2742056</v>
      </c>
      <c r="D32" s="11">
        <v>2049991</v>
      </c>
    </row>
    <row r="33" spans="2:4">
      <c r="B33" s="10">
        <v>19</v>
      </c>
      <c r="C33" s="11">
        <v>3131423</v>
      </c>
      <c r="D33" s="11">
        <v>2166780</v>
      </c>
    </row>
    <row r="34" spans="2:4">
      <c r="B34" s="10">
        <v>20</v>
      </c>
      <c r="C34" s="11">
        <v>3576255</v>
      </c>
      <c r="D34" s="11">
        <v>2300959</v>
      </c>
    </row>
    <row r="35" spans="2:4">
      <c r="B35" s="10">
        <v>21</v>
      </c>
      <c r="C35" s="11">
        <v>4085020</v>
      </c>
      <c r="D35" s="11">
        <v>2455142</v>
      </c>
    </row>
    <row r="36" spans="2:4">
      <c r="B36" s="10">
        <v>22</v>
      </c>
      <c r="C36" s="11">
        <v>4580462</v>
      </c>
      <c r="D36" s="11">
        <v>2495363</v>
      </c>
    </row>
    <row r="37" spans="2:4">
      <c r="B37" s="10">
        <v>23</v>
      </c>
      <c r="C37" s="11">
        <v>5051131</v>
      </c>
      <c r="D37" s="11">
        <v>2515951</v>
      </c>
    </row>
    <row r="38" spans="2:4">
      <c r="B38" s="10">
        <v>24</v>
      </c>
      <c r="C38" s="11">
        <v>5498267</v>
      </c>
      <c r="D38" s="11">
        <v>2535510</v>
      </c>
    </row>
  </sheetData>
  <mergeCells count="1">
    <mergeCell ref="B2:D2"/>
  </mergeCells>
  <pageMargins left="0.75" right="0.75" top="1" bottom="1" header="0.5" footer="0.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G27"/>
  <sheetViews>
    <sheetView showGridLines="0" workbookViewId="0"/>
  </sheetViews>
  <sheetFormatPr defaultRowHeight="14.4"/>
  <cols>
    <col min="1" max="1" width="3" customWidth="1"/>
    <col min="2" max="2" width="40" customWidth="1"/>
    <col min="3" max="7" width="18" customWidth="1"/>
  </cols>
  <sheetData>
    <row r="1" spans="2:6" ht="15" customHeight="1"/>
    <row r="2" spans="2:6" ht="31.95" customHeight="1">
      <c r="B2" s="63" t="s">
        <v>419</v>
      </c>
      <c r="C2" s="62"/>
      <c r="D2" s="62"/>
      <c r="E2" s="62"/>
      <c r="F2" s="62"/>
    </row>
    <row r="3" spans="2:6" ht="7.95" customHeight="1"/>
    <row r="4" spans="2:6" ht="24" customHeight="1">
      <c r="B4" s="68" t="s">
        <v>420</v>
      </c>
      <c r="C4" s="62"/>
      <c r="D4" s="62"/>
      <c r="E4" s="62"/>
      <c r="F4" s="62"/>
    </row>
    <row r="5" spans="2:6" ht="28.05" customHeight="1">
      <c r="B5" s="12" t="s">
        <v>421</v>
      </c>
      <c r="C5" s="12" t="s">
        <v>422</v>
      </c>
      <c r="D5" s="12" t="s">
        <v>423</v>
      </c>
      <c r="E5" s="12" t="s">
        <v>424</v>
      </c>
      <c r="F5" s="12"/>
    </row>
    <row r="6" spans="2:6" ht="22.05" customHeight="1">
      <c r="B6" s="6" t="s">
        <v>132</v>
      </c>
      <c r="C6" s="19">
        <v>0.08</v>
      </c>
      <c r="D6" s="19">
        <v>0.15</v>
      </c>
      <c r="E6" s="19">
        <v>0.22</v>
      </c>
      <c r="F6" s="7"/>
    </row>
    <row r="7" spans="2:6" ht="22.05" customHeight="1">
      <c r="B7" s="8" t="s">
        <v>137</v>
      </c>
      <c r="C7" s="20">
        <v>0.15</v>
      </c>
      <c r="D7" s="20">
        <v>0.25</v>
      </c>
      <c r="E7" s="20">
        <v>0.35</v>
      </c>
      <c r="F7" s="9"/>
    </row>
    <row r="8" spans="2:6" ht="22.05" customHeight="1">
      <c r="B8" s="6" t="s">
        <v>141</v>
      </c>
      <c r="C8" s="19">
        <v>0.08</v>
      </c>
      <c r="D8" s="19">
        <v>0.05</v>
      </c>
      <c r="E8" s="19">
        <v>3.5000000000000003E-2</v>
      </c>
      <c r="F8" s="7"/>
    </row>
    <row r="9" spans="2:6" ht="22.05" customHeight="1">
      <c r="B9" s="8" t="s">
        <v>425</v>
      </c>
      <c r="C9" s="16">
        <v>3000</v>
      </c>
      <c r="D9" s="16">
        <v>2000</v>
      </c>
      <c r="E9" s="16">
        <v>1500</v>
      </c>
      <c r="F9" s="9"/>
    </row>
    <row r="10" spans="2:6" ht="22.05" customHeight="1"/>
    <row r="11" spans="2:6" ht="24" customHeight="1">
      <c r="B11" s="68" t="s">
        <v>426</v>
      </c>
      <c r="C11" s="62"/>
      <c r="D11" s="62"/>
      <c r="E11" s="62"/>
      <c r="F11" s="62"/>
    </row>
    <row r="12" spans="2:6" ht="28.05" customHeight="1">
      <c r="B12" s="12" t="s">
        <v>162</v>
      </c>
      <c r="C12" s="12" t="s">
        <v>422</v>
      </c>
      <c r="D12" s="12" t="s">
        <v>423</v>
      </c>
      <c r="E12" s="12" t="s">
        <v>424</v>
      </c>
      <c r="F12" s="12"/>
    </row>
    <row r="13" spans="2:6" ht="22.05" customHeight="1">
      <c r="B13" s="6" t="s">
        <v>427</v>
      </c>
      <c r="C13" s="36">
        <f ca="1">SUMPRODUCT((TRIALS_M1*C7*(1+C6)^(ROW(INDIRECT("1:24"))-1)+DIRECT_NEW)*(1-C8)^(24-ROW(INDIRECT("1:24"))))</f>
        <v>228.59515009198913</v>
      </c>
      <c r="D13" s="36">
        <f ca="1">SUMPRODUCT((TRIALS_M1*D7*(1+D6)^(ROW(INDIRECT("1:24"))-1)+DIRECT_NEW)*(1-D8)^(24-ROW(INDIRECT("1:24"))))</f>
        <v>1133.2956163204715</v>
      </c>
      <c r="E13" s="36">
        <f ca="1">SUMPRODUCT((TRIALS_M1*E7*(1+E6)^(ROW(INDIRECT("1:24"))-1)+DIRECT_NEW)*(1-E8)^(24-ROW(INDIRECT("1:24"))))</f>
        <v>4931.8605326617635</v>
      </c>
      <c r="F13" s="7"/>
    </row>
    <row r="14" spans="2:6" ht="22.05" customHeight="1">
      <c r="B14" s="8" t="s">
        <v>428</v>
      </c>
      <c r="C14" s="44">
        <f ca="1">SUMPRODUCT((TRIALS_M1*C7*(1+C6)^(ROW(INDIRECT("1:24"))-1)+DIRECT_NEW)*(1-C8)^(24-ROW(INDIRECT("1:24"))))*'Юнит-экономика'!$C$5</f>
        <v>1227120.0250427562</v>
      </c>
      <c r="D14" s="44">
        <f ca="1">SUMPRODUCT((TRIALS_M1*D7*(1+D6)^(ROW(INDIRECT("1:24"))-1)+DIRECT_NEW)*(1-D8)^(24-ROW(INDIRECT("1:24"))))*'Юнит-экономика'!$C$5</f>
        <v>6083636.2649006089</v>
      </c>
      <c r="E14" s="44">
        <f ca="1">SUMPRODUCT((TRIALS_M1*E7*(1+E6)^(ROW(INDIRECT("1:24"))-1)+DIRECT_NEW)*(1-E8)^(24-ROW(INDIRECT("1:24"))))*'Юнит-экономика'!$C$5</f>
        <v>26474686.002357882</v>
      </c>
      <c r="F14" s="9"/>
    </row>
    <row r="15" spans="2:6" ht="22.05" customHeight="1">
      <c r="B15" s="6" t="s">
        <v>429</v>
      </c>
      <c r="C15" s="52">
        <f ca="1">SUMPRODUCT((TRIALS_M1*C7*(1+C6)^(ROW(INDIRECT("1:24"))-1)+DIRECT_NEW)*(1-C8)^(24-ROW(INDIRECT("1:24"))))*'Юнит-экономика'!$C$5*12</f>
        <v>14725440.300513074</v>
      </c>
      <c r="D15" s="52">
        <f ca="1">SUMPRODUCT((TRIALS_M1*D7*(1+D6)^(ROW(INDIRECT("1:24"))-1)+DIRECT_NEW)*(1-D8)^(24-ROW(INDIRECT("1:24"))))*'Юнит-экономика'!$C$5*12</f>
        <v>73003635.178807303</v>
      </c>
      <c r="E15" s="52">
        <f ca="1">SUMPRODUCT((TRIALS_M1*E7*(1+E6)^(ROW(INDIRECT("1:24"))-1)+DIRECT_NEW)*(1-E8)^(24-ROW(INDIRECT("1:24"))))*'Юнит-экономика'!$C$5*12</f>
        <v>317696232.02829456</v>
      </c>
      <c r="F15" s="7"/>
    </row>
    <row r="16" spans="2:6" ht="22.05" customHeight="1">
      <c r="B16" s="8" t="s">
        <v>430</v>
      </c>
      <c r="C16" s="35">
        <f>(C9+(LLM_VAC+10*LLM_INV+2*LLM_CHAT)*LLM_BUF+SUPPORT_TRIAL+INFRA_PER_EMP)/C7</f>
        <v>21781.733333333337</v>
      </c>
      <c r="D16" s="35">
        <f>(D9+(LLM_VAC+10*LLM_INV+2*LLM_CHAT)*LLM_BUF+SUPPORT_TRIAL+INFRA_PER_EMP)/D7</f>
        <v>9069.0400000000009</v>
      </c>
      <c r="E16" s="35">
        <f>(E9+(LLM_VAC+10*LLM_INV+2*LLM_CHAT)*LLM_BUF+SUPPORT_TRIAL+INFRA_PER_EMP)/E7</f>
        <v>5049.3142857142857</v>
      </c>
      <c r="F16" s="9"/>
    </row>
    <row r="17" spans="2:7" ht="22.05" customHeight="1">
      <c r="B17" s="6" t="s">
        <v>8</v>
      </c>
      <c r="C17" s="45">
        <f>'Юнит-экономика'!$C$14/C16</f>
        <v>4.7131734260511857</v>
      </c>
      <c r="D17" s="45">
        <f>'Юнит-экономика'!$C$14/D16</f>
        <v>11.319950812875453</v>
      </c>
      <c r="E17" s="45">
        <f>'Юнит-экономика'!$C$14/E16</f>
        <v>20.33168880187409</v>
      </c>
      <c r="F17" s="7"/>
    </row>
    <row r="18" spans="2:7" ht="22.05" customHeight="1"/>
    <row r="19" spans="2:7" ht="24" customHeight="1">
      <c r="B19" s="68" t="s">
        <v>431</v>
      </c>
      <c r="C19" s="62"/>
      <c r="D19" s="62"/>
      <c r="E19" s="62"/>
      <c r="F19" s="62"/>
    </row>
    <row r="20" spans="2:7" ht="28.05" customHeight="1">
      <c r="B20" s="12" t="s">
        <v>432</v>
      </c>
      <c r="C20" s="54">
        <v>0.15</v>
      </c>
      <c r="D20" s="54">
        <v>0.2</v>
      </c>
      <c r="E20" s="54">
        <v>0.25</v>
      </c>
      <c r="F20" s="54">
        <v>0.3</v>
      </c>
      <c r="G20" s="54">
        <v>0.35</v>
      </c>
    </row>
    <row r="21" spans="2:7" ht="22.05" customHeight="1">
      <c r="B21" s="55">
        <v>0.08</v>
      </c>
      <c r="C21" s="56">
        <f ca="1">SUMPRODUCT((TRIALS_M1*C$20*(1+$B21)^(ROW(INDIRECT("1:24"))-1)+DIRECT_NEW)*(1-CHURN)^(24-ROW(INDIRECT("1:24"))))*'Юнит-экономика'!$C$5*12/1000000000</f>
        <v>1.8049430816712852E-2</v>
      </c>
      <c r="D21" s="56">
        <f ca="1">SUMPRODUCT((TRIALS_M1*D$20*(1+$B21)^(ROW(INDIRECT("1:24"))-1)+DIRECT_NEW)*(1-CHURN)^(24-ROW(INDIRECT("1:24"))))*'Юнит-экономика'!$C$5*12/1000000000</f>
        <v>2.2545640250669061E-2</v>
      </c>
      <c r="E21" s="56">
        <f ca="1">SUMPRODUCT((TRIALS_M1*E$20*(1+$B21)^(ROW(INDIRECT("1:24"))-1)+DIRECT_NEW)*(1-CHURN)^(24-ROW(INDIRECT("1:24"))))*'Юнит-экономика'!$C$5*12/1000000000</f>
        <v>2.7041849684625259E-2</v>
      </c>
      <c r="F21" s="56">
        <f ca="1">SUMPRODUCT((TRIALS_M1*F$20*(1+$B21)^(ROW(INDIRECT("1:24"))-1)+DIRECT_NEW)*(1-CHURN)^(24-ROW(INDIRECT("1:24"))))*'Юнит-экономика'!$C$5*12/1000000000</f>
        <v>3.1538059118581464E-2</v>
      </c>
      <c r="G21" s="56">
        <f ca="1">SUMPRODUCT((TRIALS_M1*G$20*(1+$B21)^(ROW(INDIRECT("1:24"))-1)+DIRECT_NEW)*(1-CHURN)^(24-ROW(INDIRECT("1:24"))))*'Юнит-экономика'!$C$5*12/1000000000</f>
        <v>3.603426855253767E-2</v>
      </c>
    </row>
    <row r="22" spans="2:7" ht="22.05" customHeight="1">
      <c r="B22" s="55">
        <v>0.12</v>
      </c>
      <c r="C22" s="57">
        <f ca="1">SUMPRODUCT((TRIALS_M1*C$20*(1+$B22)^(ROW(INDIRECT("1:24"))-1)+DIRECT_NEW)*(1-CHURN)^(24-ROW(INDIRECT("1:24"))))*'Юнит-экономика'!$C$5*12/1000000000</f>
        <v>2.994488983687121E-2</v>
      </c>
      <c r="D22" s="57">
        <f ca="1">SUMPRODUCT((TRIALS_M1*D$20*(1+$B22)^(ROW(INDIRECT("1:24"))-1)+DIRECT_NEW)*(1-CHURN)^(24-ROW(INDIRECT("1:24"))))*'Юнит-экономика'!$C$5*12/1000000000</f>
        <v>3.8406252277546855E-2</v>
      </c>
      <c r="E22" s="57">
        <f ca="1">SUMPRODUCT((TRIALS_M1*E$20*(1+$B22)^(ROW(INDIRECT("1:24"))-1)+DIRECT_NEW)*(1-CHURN)^(24-ROW(INDIRECT("1:24"))))*'Юнит-экономика'!$C$5*12/1000000000</f>
        <v>4.6867614718222504E-2</v>
      </c>
      <c r="F22" s="57">
        <f ca="1">SUMPRODUCT((TRIALS_M1*F$20*(1+$B22)^(ROW(INDIRECT("1:24"))-1)+DIRECT_NEW)*(1-CHURN)^(24-ROW(INDIRECT("1:24"))))*'Юнит-экономика'!$C$5*12/1000000000</f>
        <v>5.5328977158898174E-2</v>
      </c>
      <c r="G22" s="57">
        <f ca="1">SUMPRODUCT((TRIALS_M1*G$20*(1+$B22)^(ROW(INDIRECT("1:24"))-1)+DIRECT_NEW)*(1-CHURN)^(24-ROW(INDIRECT("1:24"))))*'Юнит-экономика'!$C$5*12/1000000000</f>
        <v>6.3790339599573809E-2</v>
      </c>
    </row>
    <row r="23" spans="2:7" ht="22.05" customHeight="1">
      <c r="B23" s="55">
        <v>0.15</v>
      </c>
      <c r="C23" s="56">
        <f ca="1">SUMPRODUCT((TRIALS_M1*C$20*(1+$B23)^(ROW(INDIRECT("1:24"))-1)+DIRECT_NEW)*(1-CHURN)^(24-ROW(INDIRECT("1:24"))))*'Юнит-экономика'!$C$5*12/1000000000</f>
        <v>4.5626502113222077E-2</v>
      </c>
      <c r="D23" s="56">
        <f ca="1">SUMPRODUCT((TRIALS_M1*D$20*(1+$B23)^(ROW(INDIRECT("1:24"))-1)+DIRECT_NEW)*(1-CHURN)^(24-ROW(INDIRECT("1:24"))))*'Юнит-экономика'!$C$5*12/1000000000</f>
        <v>5.9315068646014699E-2</v>
      </c>
      <c r="E23" s="58">
        <f ca="1">SUMPRODUCT((TRIALS_M1*E$20*(1+$B23)^(ROW(INDIRECT("1:24"))-1)+DIRECT_NEW)*(1-CHURN)^(24-ROW(INDIRECT("1:24"))))*'Юнит-экономика'!$C$5*12/1000000000</f>
        <v>7.30036351788073E-2</v>
      </c>
      <c r="F23" s="56">
        <f ca="1">SUMPRODUCT((TRIALS_M1*F$20*(1+$B23)^(ROW(INDIRECT("1:24"))-1)+DIRECT_NEW)*(1-CHURN)^(24-ROW(INDIRECT("1:24"))))*'Юнит-экономика'!$C$5*12/1000000000</f>
        <v>8.6692201711599901E-2</v>
      </c>
      <c r="G23" s="56">
        <f ca="1">SUMPRODUCT((TRIALS_M1*G$20*(1+$B23)^(ROW(INDIRECT("1:24"))-1)+DIRECT_NEW)*(1-CHURN)^(24-ROW(INDIRECT("1:24"))))*'Юнит-экономика'!$C$5*12/1000000000</f>
        <v>0.10038076824439253</v>
      </c>
    </row>
    <row r="24" spans="2:7" ht="22.05" customHeight="1">
      <c r="B24" s="55">
        <v>0.18</v>
      </c>
      <c r="C24" s="57">
        <f ca="1">SUMPRODUCT((TRIALS_M1*C$20*(1+$B24)^(ROW(INDIRECT("1:24"))-1)+DIRECT_NEW)*(1-CHURN)^(24-ROW(INDIRECT("1:24"))))*'Юнит-экономика'!$C$5*12/1000000000</f>
        <v>7.1127931514683287E-2</v>
      </c>
      <c r="D24" s="57">
        <f ca="1">SUMPRODUCT((TRIALS_M1*D$20*(1+$B24)^(ROW(INDIRECT("1:24"))-1)+DIRECT_NEW)*(1-CHURN)^(24-ROW(INDIRECT("1:24"))))*'Юнит-экономика'!$C$5*12/1000000000</f>
        <v>9.3316974514629655E-2</v>
      </c>
      <c r="E24" s="57">
        <f ca="1">SUMPRODUCT((TRIALS_M1*E$20*(1+$B24)^(ROW(INDIRECT("1:24"))-1)+DIRECT_NEW)*(1-CHURN)^(24-ROW(INDIRECT("1:24"))))*'Юнит-экономика'!$C$5*12/1000000000</f>
        <v>0.11550601751457602</v>
      </c>
      <c r="F24" s="57">
        <f ca="1">SUMPRODUCT((TRIALS_M1*F$20*(1+$B24)^(ROW(INDIRECT("1:24"))-1)+DIRECT_NEW)*(1-CHURN)^(24-ROW(INDIRECT("1:24"))))*'Юнит-экономика'!$C$5*12/1000000000</f>
        <v>0.13769506051452238</v>
      </c>
      <c r="G24" s="57">
        <f ca="1">SUMPRODUCT((TRIALS_M1*G$20*(1+$B24)^(ROW(INDIRECT("1:24"))-1)+DIRECT_NEW)*(1-CHURN)^(24-ROW(INDIRECT("1:24"))))*'Юнит-экономика'!$C$5*12/1000000000</f>
        <v>0.15988410351446872</v>
      </c>
    </row>
    <row r="25" spans="2:7" ht="22.05" customHeight="1">
      <c r="B25" s="55">
        <v>0.22</v>
      </c>
      <c r="C25" s="56">
        <f ca="1">SUMPRODUCT((TRIALS_M1*C$20*(1+$B25)^(ROW(INDIRECT("1:24"))-1)+DIRECT_NEW)*(1-CHURN)^(24-ROW(INDIRECT("1:24"))))*'Юнит-экономика'!$C$5*12/1000000000</f>
        <v>0.13115443024832851</v>
      </c>
      <c r="D25" s="56">
        <f ca="1">SUMPRODUCT((TRIALS_M1*D$20*(1+$B25)^(ROW(INDIRECT("1:24"))-1)+DIRECT_NEW)*(1-CHURN)^(24-ROW(INDIRECT("1:24"))))*'Юнит-экономика'!$C$5*12/1000000000</f>
        <v>0.17335230615948996</v>
      </c>
      <c r="E25" s="56">
        <f ca="1">SUMPRODUCT((TRIALS_M1*E$20*(1+$B25)^(ROW(INDIRECT("1:24"))-1)+DIRECT_NEW)*(1-CHURN)^(24-ROW(INDIRECT("1:24"))))*'Юнит-экономика'!$C$5*12/1000000000</f>
        <v>0.21555018207065135</v>
      </c>
      <c r="F25" s="56">
        <f ca="1">SUMPRODUCT((TRIALS_M1*F$20*(1+$B25)^(ROW(INDIRECT("1:24"))-1)+DIRECT_NEW)*(1-CHURN)^(24-ROW(INDIRECT("1:24"))))*'Юнит-экономика'!$C$5*12/1000000000</f>
        <v>0.25774805798181277</v>
      </c>
      <c r="G25" s="56">
        <f ca="1">SUMPRODUCT((TRIALS_M1*G$20*(1+$B25)^(ROW(INDIRECT("1:24"))-1)+DIRECT_NEW)*(1-CHURN)^(24-ROW(INDIRECT("1:24"))))*'Юнит-экономика'!$C$5*12/1000000000</f>
        <v>0.29994593389297419</v>
      </c>
    </row>
    <row r="26" spans="2:7" ht="22.05" customHeight="1"/>
    <row r="27" spans="2:7" ht="22.05" customHeight="1">
      <c r="B27" s="69" t="s">
        <v>433</v>
      </c>
      <c r="C27" s="62"/>
      <c r="D27" s="62"/>
      <c r="E27" s="62"/>
      <c r="F27" s="62"/>
    </row>
  </sheetData>
  <mergeCells count="5">
    <mergeCell ref="B4:F4"/>
    <mergeCell ref="B2:F2"/>
    <mergeCell ref="B11:F11"/>
    <mergeCell ref="B19:F19"/>
    <mergeCell ref="B27:F2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E20"/>
  <sheetViews>
    <sheetView showGridLines="0" workbookViewId="0"/>
  </sheetViews>
  <sheetFormatPr defaultRowHeight="14.4"/>
  <cols>
    <col min="1" max="1" width="3" customWidth="1"/>
    <col min="2" max="2" width="62" customWidth="1"/>
    <col min="3" max="3" width="30" customWidth="1"/>
    <col min="4" max="4" width="40" customWidth="1"/>
  </cols>
  <sheetData>
    <row r="1" spans="2:5" ht="15" customHeight="1"/>
    <row r="2" spans="2:5" ht="31.95" customHeight="1">
      <c r="B2" s="63" t="s">
        <v>434</v>
      </c>
      <c r="C2" s="62"/>
      <c r="D2" s="62"/>
      <c r="E2" s="62"/>
    </row>
    <row r="3" spans="2:5" ht="7.95" customHeight="1"/>
    <row r="4" spans="2:5" ht="28.05" customHeight="1">
      <c r="B4" s="12" t="s">
        <v>435</v>
      </c>
      <c r="C4" s="12" t="s">
        <v>164</v>
      </c>
      <c r="D4" s="12" t="s">
        <v>436</v>
      </c>
      <c r="E4" s="12"/>
    </row>
    <row r="5" spans="2:5" ht="37.950000000000003" customHeight="1">
      <c r="B5" s="6" t="s">
        <v>437</v>
      </c>
      <c r="C5" s="6" t="s">
        <v>303</v>
      </c>
      <c r="D5" s="15" t="s">
        <v>438</v>
      </c>
      <c r="E5" s="7"/>
    </row>
    <row r="6" spans="2:5" ht="22.05" customHeight="1">
      <c r="B6" s="8" t="s">
        <v>439</v>
      </c>
      <c r="C6" s="8" t="s">
        <v>440</v>
      </c>
      <c r="D6" s="18" t="s">
        <v>441</v>
      </c>
      <c r="E6" s="9"/>
    </row>
    <row r="7" spans="2:5" ht="22.05" customHeight="1">
      <c r="B7" s="6" t="s">
        <v>442</v>
      </c>
      <c r="C7" s="6" t="s">
        <v>443</v>
      </c>
      <c r="D7" s="15" t="s">
        <v>444</v>
      </c>
      <c r="E7" s="7"/>
    </row>
    <row r="8" spans="2:5" ht="22.05" customHeight="1">
      <c r="B8" s="8" t="s">
        <v>445</v>
      </c>
      <c r="C8" s="8" t="s">
        <v>446</v>
      </c>
      <c r="D8" s="18" t="s">
        <v>447</v>
      </c>
      <c r="E8" s="9"/>
    </row>
    <row r="9" spans="2:5" ht="22.05" customHeight="1">
      <c r="B9" s="6" t="s">
        <v>448</v>
      </c>
      <c r="C9" s="6" t="s">
        <v>449</v>
      </c>
      <c r="D9" s="15" t="s">
        <v>450</v>
      </c>
      <c r="E9" s="7"/>
    </row>
    <row r="10" spans="2:5" ht="22.05" customHeight="1">
      <c r="B10" s="8" t="s">
        <v>451</v>
      </c>
      <c r="C10" s="8" t="s">
        <v>199</v>
      </c>
      <c r="D10" s="18" t="s">
        <v>452</v>
      </c>
      <c r="E10" s="9"/>
    </row>
    <row r="11" spans="2:5" ht="37.950000000000003" customHeight="1">
      <c r="B11" s="6" t="s">
        <v>453</v>
      </c>
      <c r="C11" s="6" t="s">
        <v>454</v>
      </c>
      <c r="D11" s="15" t="s">
        <v>455</v>
      </c>
      <c r="E11" s="7"/>
    </row>
    <row r="12" spans="2:5" ht="37.950000000000003" customHeight="1">
      <c r="B12" s="8" t="s">
        <v>456</v>
      </c>
      <c r="C12" s="8" t="s">
        <v>457</v>
      </c>
      <c r="D12" s="18" t="s">
        <v>458</v>
      </c>
      <c r="E12" s="9"/>
    </row>
    <row r="13" spans="2:5" ht="37.950000000000003" customHeight="1">
      <c r="B13" s="6" t="s">
        <v>459</v>
      </c>
      <c r="C13" s="6" t="s">
        <v>460</v>
      </c>
      <c r="D13" s="15" t="s">
        <v>461</v>
      </c>
      <c r="E13" s="7"/>
    </row>
    <row r="14" spans="2:5" ht="37.950000000000003" customHeight="1">
      <c r="B14" s="8" t="s">
        <v>462</v>
      </c>
      <c r="C14" s="8" t="s">
        <v>463</v>
      </c>
      <c r="D14" s="18" t="s">
        <v>464</v>
      </c>
      <c r="E14" s="9"/>
    </row>
    <row r="15" spans="2:5" ht="22.05" customHeight="1">
      <c r="B15" s="6" t="s">
        <v>465</v>
      </c>
      <c r="C15" s="6" t="s">
        <v>184</v>
      </c>
      <c r="D15" s="15" t="s">
        <v>466</v>
      </c>
      <c r="E15" s="7"/>
    </row>
    <row r="16" spans="2:5" ht="37.950000000000003" customHeight="1">
      <c r="B16" s="8" t="s">
        <v>467</v>
      </c>
      <c r="C16" s="8" t="s">
        <v>468</v>
      </c>
      <c r="D16" s="18" t="s">
        <v>469</v>
      </c>
      <c r="E16" s="9"/>
    </row>
    <row r="17" spans="2:5" ht="37.950000000000003" customHeight="1">
      <c r="B17" s="6" t="s">
        <v>470</v>
      </c>
      <c r="C17" s="6" t="s">
        <v>180</v>
      </c>
      <c r="D17" s="15" t="s">
        <v>471</v>
      </c>
      <c r="E17" s="7"/>
    </row>
    <row r="18" spans="2:5" ht="37.950000000000003" customHeight="1">
      <c r="B18" s="8" t="s">
        <v>472</v>
      </c>
      <c r="C18" s="8" t="s">
        <v>104</v>
      </c>
      <c r="D18" s="18" t="s">
        <v>473</v>
      </c>
      <c r="E18" s="9"/>
    </row>
    <row r="19" spans="2:5" ht="37.950000000000003" customHeight="1">
      <c r="B19" s="6" t="s">
        <v>474</v>
      </c>
      <c r="C19" s="6" t="s">
        <v>195</v>
      </c>
      <c r="D19" s="15" t="s">
        <v>194</v>
      </c>
      <c r="E19" s="7"/>
    </row>
    <row r="20" spans="2:5" ht="54" customHeight="1">
      <c r="B20" s="8" t="s">
        <v>475</v>
      </c>
      <c r="C20" s="8" t="s">
        <v>476</v>
      </c>
      <c r="D20" s="18" t="s">
        <v>477</v>
      </c>
      <c r="E20" s="9"/>
    </row>
  </sheetData>
  <mergeCells count="1">
    <mergeCell ref="B2:E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C000"/>
  </sheetPr>
  <dimension ref="B1:E10"/>
  <sheetViews>
    <sheetView showGridLines="0" workbookViewId="0"/>
  </sheetViews>
  <sheetFormatPr defaultRowHeight="14.4"/>
  <cols>
    <col min="1" max="1" width="3" customWidth="1"/>
    <col min="2" max="2" width="48" customWidth="1"/>
    <col min="3" max="4" width="16" customWidth="1"/>
    <col min="5" max="5" width="10" customWidth="1"/>
  </cols>
  <sheetData>
    <row r="1" spans="2:5" ht="15" customHeight="1"/>
    <row r="2" spans="2:5" ht="31.95" customHeight="1">
      <c r="B2" s="63" t="s">
        <v>478</v>
      </c>
      <c r="C2" s="62"/>
      <c r="D2" s="62"/>
      <c r="E2" s="62"/>
    </row>
    <row r="3" spans="2:5" ht="7.95" customHeight="1"/>
    <row r="4" spans="2:5" ht="28.05" customHeight="1">
      <c r="B4" s="12" t="s">
        <v>479</v>
      </c>
      <c r="C4" s="12" t="s">
        <v>480</v>
      </c>
      <c r="D4" s="12" t="s">
        <v>481</v>
      </c>
      <c r="E4" s="12" t="s">
        <v>482</v>
      </c>
    </row>
    <row r="5" spans="2:5" ht="22.05" customHeight="1">
      <c r="B5" s="6" t="s">
        <v>483</v>
      </c>
      <c r="C5" s="52">
        <f>SUM(Выручка!Z14:Z17)</f>
        <v>5498267.4809892755</v>
      </c>
      <c r="D5" s="52">
        <f>Выручка!Z18</f>
        <v>5498267.4809892755</v>
      </c>
      <c r="E5" s="59" t="str">
        <f>IF(ABS(C5-D5)&lt;1,"OK","FAIL")</f>
        <v>OK</v>
      </c>
    </row>
    <row r="6" spans="2:5" ht="22.05" customHeight="1">
      <c r="B6" s="8" t="s">
        <v>484</v>
      </c>
      <c r="C6" s="44">
        <f>Выручка!Y8+Выручка!Z6-Выручка!Z7</f>
        <v>1021.5552215359961</v>
      </c>
      <c r="D6" s="44">
        <f>Выручка!Z8</f>
        <v>1021.5552215359961</v>
      </c>
      <c r="E6" s="60" t="str">
        <f>IF(ABS(C6-D6)&lt;1,"OK","FAIL")</f>
        <v>OK</v>
      </c>
    </row>
    <row r="7" spans="2:5" ht="22.05" customHeight="1">
      <c r="B7" s="6" t="s">
        <v>485</v>
      </c>
      <c r="C7" s="52">
        <f>SUM(Затраты!Z8:Z13)</f>
        <v>2535509.9677922009</v>
      </c>
      <c r="D7" s="52">
        <f>Затраты!Z14</f>
        <v>2535509.9677922009</v>
      </c>
      <c r="E7" s="59" t="str">
        <f>IF(ABS(C7-D7)&lt;1,"OK","FAIL")</f>
        <v>OK</v>
      </c>
    </row>
    <row r="8" spans="2:5" ht="22.05" customHeight="1">
      <c r="B8" s="8" t="s">
        <v>486</v>
      </c>
      <c r="C8" s="44">
        <f>Выручка!Z18-Затраты!Z14</f>
        <v>2962757.5131970746</v>
      </c>
      <c r="D8" s="44">
        <f>Затраты!Z15</f>
        <v>2962757.5131970746</v>
      </c>
      <c r="E8" s="60" t="str">
        <f>IF(ABS(C8-D8)&lt;1,"OK","FAIL")</f>
        <v>OK</v>
      </c>
    </row>
    <row r="9" spans="2:5" ht="37.950000000000003" customHeight="1">
      <c r="B9" s="6" t="s">
        <v>487</v>
      </c>
      <c r="C9" s="52">
        <f>'Юнит-экономика'!C5*Выручка!Z8</f>
        <v>5483803.4338408299</v>
      </c>
      <c r="D9" s="52">
        <f>Выручка!Z18</f>
        <v>5498267.4809892755</v>
      </c>
      <c r="E9" s="59" t="str">
        <f>IF(ABS(C9-D9)&lt;=0.15*ABS(D9),"OK","FAIL")</f>
        <v>OK</v>
      </c>
    </row>
    <row r="10" spans="2:5" ht="22.05" customHeight="1">
      <c r="B10" s="8" t="s">
        <v>488</v>
      </c>
      <c r="C10" s="44">
        <f>'Затраты работодателя'!F9-'Затраты работодателя'!F5</f>
        <v>444399</v>
      </c>
      <c r="D10" s="44">
        <f>'Затраты работодателя'!F13</f>
        <v>444399</v>
      </c>
      <c r="E10" s="60" t="str">
        <f>IF(ABS(C10-D10)&lt;1,"OK","FAIL")</f>
        <v>OK</v>
      </c>
    </row>
  </sheetData>
  <mergeCells count="1">
    <mergeCell ref="B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13</vt:i4>
      </vt:variant>
      <vt:variant>
        <vt:lpstr>Именованные диапазоны</vt:lpstr>
      </vt:variant>
      <vt:variant>
        <vt:i4>62</vt:i4>
      </vt:variant>
    </vt:vector>
  </HeadingPairs>
  <TitlesOfParts>
    <vt:vector size="75" baseType="lpstr">
      <vt:lpstr>Резюме</vt:lpstr>
      <vt:lpstr>Допущения</vt:lpstr>
      <vt:lpstr>Рынок</vt:lpstr>
      <vt:lpstr>Тарифы</vt:lpstr>
      <vt:lpstr>Затраты работодателя</vt:lpstr>
      <vt:lpstr>Триал</vt:lpstr>
      <vt:lpstr>Выручка</vt:lpstr>
      <vt:lpstr>Затраты</vt:lpstr>
      <vt:lpstr>Юнит-экономика</vt:lpstr>
      <vt:lpstr>Безубыточность</vt:lpstr>
      <vt:lpstr>Сценарии</vt:lpstr>
      <vt:lpstr>Источники</vt:lpstr>
      <vt:lpstr>Проверка</vt:lpstr>
      <vt:lpstr>ACQ</vt:lpstr>
      <vt:lpstr>AGENCY_FEE</vt:lpstr>
      <vt:lpstr>CAC_DIRECT</vt:lpstr>
      <vt:lpstr>CASUAL_ACT</vt:lpstr>
      <vt:lpstr>CASUAL_SH</vt:lpstr>
      <vt:lpstr>CHATS_PER_EMP</vt:lpstr>
      <vt:lpstr>CHURN</vt:lpstr>
      <vt:lpstr>COST_TRIAL_MKT</vt:lpstr>
      <vt:lpstr>CPH_MKT</vt:lpstr>
      <vt:lpstr>CPH_PLATFORM</vt:lpstr>
      <vt:lpstr>DIRECT_NEW</vt:lpstr>
      <vt:lpstr>FINE</vt:lpstr>
      <vt:lpstr>FINE_SHARE</vt:lpstr>
      <vt:lpstr>HABR_VAC</vt:lpstr>
      <vt:lpstr>HH_DB</vt:lpstr>
      <vt:lpstr>HH_VAC</vt:lpstr>
      <vt:lpstr>HR_HRS</vt:lpstr>
      <vt:lpstr>HR_HRS_COMIT</vt:lpstr>
      <vt:lpstr>HR_RATE</vt:lpstr>
      <vt:lpstr>INFRA_FIX</vt:lpstr>
      <vt:lpstr>INFRA_PER_EMP</vt:lpstr>
      <vt:lpstr>INV_PER_EMP_BIZ</vt:lpstr>
      <vt:lpstr>INV_PER_EMP_CAS</vt:lpstr>
      <vt:lpstr>INV_PER_EMP_SUB</vt:lpstr>
      <vt:lpstr>INV_PER_HIRE</vt:lpstr>
      <vt:lpstr>INV_PRICE</vt:lpstr>
      <vt:lpstr>LLM_BUF</vt:lpstr>
      <vt:lpstr>LLM_CHAT</vt:lpstr>
      <vt:lpstr>LLM_IN</vt:lpstr>
      <vt:lpstr>LLM_INV</vt:lpstr>
      <vt:lpstr>LLM_OUT</vt:lpstr>
      <vt:lpstr>LLM_VAC</vt:lpstr>
      <vt:lpstr>OPEX_OTHER</vt:lpstr>
      <vt:lpstr>PAYROLL_EARLY</vt:lpstr>
      <vt:lpstr>PAYROLL_LATE</vt:lpstr>
      <vt:lpstr>SAL_JUN</vt:lpstr>
      <vt:lpstr>SAL_MEDIAN</vt:lpstr>
      <vt:lpstr>SAL_MID</vt:lpstr>
      <vt:lpstr>SAL_SEN</vt:lpstr>
      <vt:lpstr>SUB_BIZ</vt:lpstr>
      <vt:lpstr>SUB_BIZ_SH</vt:lpstr>
      <vt:lpstr>SUB_START</vt:lpstr>
      <vt:lpstr>SUB_START_SH</vt:lpstr>
      <vt:lpstr>SUPPORT_TRIAL</vt:lpstr>
      <vt:lpstr>TOK_CHAT_IN</vt:lpstr>
      <vt:lpstr>TOK_CHAT_OUT</vt:lpstr>
      <vt:lpstr>TOK_INV_IN</vt:lpstr>
      <vt:lpstr>TOK_INV_OUT</vt:lpstr>
      <vt:lpstr>TOK_VAC_IN</vt:lpstr>
      <vt:lpstr>TOK_VAC_OUT</vt:lpstr>
      <vt:lpstr>TRIAL_CAP</vt:lpstr>
      <vt:lpstr>TRIAL_CONV</vt:lpstr>
      <vt:lpstr>TRIAL_GR</vt:lpstr>
      <vt:lpstr>TRIALS_M1</vt:lpstr>
      <vt:lpstr>TTH_MKT</vt:lpstr>
      <vt:lpstr>USD</vt:lpstr>
      <vt:lpstr>VAC_AVG</vt:lpstr>
      <vt:lpstr>VAC_FIRST</vt:lpstr>
      <vt:lpstr>VAC_NEXT</vt:lpstr>
      <vt:lpstr>VAC_PER_EMP</vt:lpstr>
      <vt:lpstr>VAC_PER_EMP_BIZ</vt:lpstr>
      <vt:lpstr>VAC_PER_EMP_SUB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Z.ai</dc:creator>
  <cp:lastModifiedBy>Илья Бурмоличенко</cp:lastModifiedBy>
  <dcterms:created xsi:type="dcterms:W3CDTF">2026-10-11T15:03:45Z</dcterms:created>
  <dcterms:modified xsi:type="dcterms:W3CDTF">2026-10-11T15:03:55Z</dcterms:modified>
</cp:coreProperties>
</file>