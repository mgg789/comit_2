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781c9de9504c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юме" sheetId="1" r:id="Rbba86e8279ec476b"/>
    <x:sheet xmlns:r="http://schemas.openxmlformats.org/officeDocument/2006/relationships" name="Допущения" sheetId="2" r:id="R9f4112765de244e3"/>
    <x:sheet xmlns:r="http://schemas.openxmlformats.org/officeDocument/2006/relationships" name="Рынок" sheetId="3" r:id="Rf2823a1c1d6e43e2"/>
    <x:sheet xmlns:r="http://schemas.openxmlformats.org/officeDocument/2006/relationships" name="Тарифы" sheetId="4" r:id="R9c45870f93cc4d79"/>
    <x:sheet xmlns:r="http://schemas.openxmlformats.org/officeDocument/2006/relationships" name="Затраты работодателя" sheetId="5" r:id="R8cfb50ec14c449fa"/>
    <x:sheet xmlns:r="http://schemas.openxmlformats.org/officeDocument/2006/relationships" name="Триал" sheetId="6" r:id="R0100b2ed83724975"/>
    <x:sheet xmlns:r="http://schemas.openxmlformats.org/officeDocument/2006/relationships" name="Выручка" sheetId="7" r:id="Rc1ca7d28c3164f88"/>
    <x:sheet xmlns:r="http://schemas.openxmlformats.org/officeDocument/2006/relationships" name="Затраты" sheetId="8" r:id="Rd40f40fce83042a1"/>
    <x:sheet xmlns:r="http://schemas.openxmlformats.org/officeDocument/2006/relationships" name="Юнит-экономика" sheetId="9" r:id="Rf661c18a05f34340"/>
    <x:sheet xmlns:r="http://schemas.openxmlformats.org/officeDocument/2006/relationships" name="Безубыточность" sheetId="10" r:id="Rb0245ddafa0c4740"/>
    <x:sheet xmlns:r="http://schemas.openxmlformats.org/officeDocument/2006/relationships" name="Сценарии" sheetId="11" r:id="R1f48d63840b14b0d"/>
    <x:sheet xmlns:r="http://schemas.openxmlformats.org/officeDocument/2006/relationships" name="Источники" sheetId="12" r:id="Rc18916df060f4109"/>
    <x:sheet xmlns:r="http://schemas.openxmlformats.org/officeDocument/2006/relationships" name="Проверка" sheetId="13" r:id="Rc3bc017356f444ba"/>
  </x:sheets>
  <x:definedNames>
    <x:definedName name="ACQ">Допущения!$C$68</x:definedName>
    <x:definedName name="AGENCY_FEE">Допущения!$C$10</x:definedName>
    <x:definedName name="CAC_DIRECT">Допущения!$C$67</x:definedName>
    <x:definedName name="CASUAL_ACT">Допущения!$C$40</x:definedName>
    <x:definedName name="CASUAL_SH">Допущения!$C$31</x:definedName>
    <x:definedName name="CHATS_PER_EMP">Допущения!$C$54</x:definedName>
    <x:definedName name="CHURN">Допущения!$C$64</x:definedName>
    <x:definedName name="COST_TRIAL_MKT">Допущения!$C$66</x:definedName>
    <x:definedName name="CPH_MKT">Допущения!$C$11</x:definedName>
    <x:definedName name="CPH_PLATFORM">Допущения!$C$12</x:definedName>
    <x:definedName name="DIRECT_NEW">Допущения!$C$63</x:definedName>
    <x:definedName name="FINE">Допущения!$C$25</x:definedName>
    <x:definedName name="FINE_SHARE">Допущения!$C$26</x:definedName>
    <x:definedName name="HABR_VAC">Допущения!$C$18</x:definedName>
    <x:definedName name="HH_DB">Допущения!$C$17</x:definedName>
    <x:definedName name="HH_VAC">Допущения!$C$19</x:definedName>
    <x:definedName name="HR_HRS">Допущения!$C$14</x:definedName>
    <x:definedName name="HR_HRS_COMIT">Допущения!$C$16</x:definedName>
    <x:definedName name="HR_RATE">Допущения!$C$15</x:definedName>
    <x:definedName name="INFRA_FIX">Допущения!$C$56</x:definedName>
    <x:definedName name="INFRA_PER_EMP">Допущения!$C$57</x:definedName>
    <x:definedName name="INV_PER_EMP_BIZ">Допущения!$C$39</x:definedName>
    <x:definedName name="INV_PER_EMP_CAS">Допущения!$C$35</x:definedName>
    <x:definedName name="INV_PER_EMP_SUB">Допущения!$C$38</x:definedName>
    <x:definedName name="INV_PER_HIRE">Допущения!$C$33</x:definedName>
    <x:definedName name="INV_PRICE">Допущения!$C$24</x:definedName>
    <x:definedName name="LLM_BUF">Допущения!$C$55</x:definedName>
    <x:definedName name="LLM_CHAT">Допущения!$C$53</x:definedName>
    <x:definedName name="LLM_IN">Допущения!$C$42</x:definedName>
    <x:definedName name="LLM_INV">Допущения!$C$52</x:definedName>
    <x:definedName name="LLM_OUT">Допущения!$C$43</x:definedName>
    <x:definedName name="LLM_VAC">Допущения!$C$51</x:definedName>
    <x:definedName name="OPEX_OTHER">Допущения!$C$73</x:definedName>
    <x:definedName name="PAYROLL_EARLY">Допущения!$C$71</x:definedName>
    <x:definedName name="PAYROLL_LATE">Допущения!$C$72</x:definedName>
    <x:definedName name="SAL_JUN">Допущения!$C$7</x:definedName>
    <x:definedName name="SAL_MEDIAN">Допущения!$C$6</x:definedName>
    <x:definedName name="SAL_MID">Допущения!$C$8</x:definedName>
    <x:definedName name="SAL_SEN">Допущения!$C$9</x:definedName>
    <x:definedName name="SUB_BIZ">Допущения!$C$28</x:definedName>
    <x:definedName name="SUB_BIZ_SH">Допущения!$C$30</x:definedName>
    <x:definedName name="SUB_START">Допущения!$C$27</x:definedName>
    <x:definedName name="SUB_START_SH">Допущения!$C$29</x:definedName>
    <x:definedName name="SUPPORT_TRIAL">Допущения!$C$69</x:definedName>
    <x:definedName name="TOK_CHAT_IN">Допущения!$C$49</x:definedName>
    <x:definedName name="TOK_CHAT_OUT">Допущения!$C$50</x:definedName>
    <x:definedName name="TOK_INV_IN">Допущения!$C$47</x:definedName>
    <x:definedName name="TOK_INV_OUT">Допущения!$C$48</x:definedName>
    <x:definedName name="TOK_VAC_IN">Допущения!$C$45</x:definedName>
    <x:definedName name="TOK_VAC_OUT">Допущения!$C$46</x:definedName>
    <x:definedName name="TRIAL_CAP">Допущения!$C$61</x:definedName>
    <x:definedName name="TRIAL_CONV">Допущения!$C$62</x:definedName>
    <x:definedName name="TRIAL_GR">Допущения!$C$60</x:definedName>
    <x:definedName name="TRIALS_M1">Допущения!$C$59</x:definedName>
    <x:definedName name="TTH_MKT">Допущения!$C$13</x:definedName>
    <x:definedName name="USD">Допущения!$C$44</x:definedName>
    <x:definedName name="VAC_AVG">Допущения!$C$23</x:definedName>
    <x:definedName name="VAC_FIRST">Допущения!$C$21</x:definedName>
    <x:definedName name="VAC_NEXT">Допущения!$C$22</x:definedName>
    <x:definedName name="VAC_PER_EMP">Допущения!$C$34</x:definedName>
    <x:definedName name="VAC_PER_EMP_BIZ">Допущения!$C$37</x:definedName>
    <x:definedName name="VAC_PER_EMP_SUB">Допущения!$C$36</x:definedName>
  </x:definedNames>
</x:workbook>
</file>

<file path=xl/sharedStrings.xml><?xml version="1.0" encoding="utf-8"?>
<x:sst xmlns:x="http://schemas.openxmlformats.org/spreadsheetml/2006/main">
  <x:si>
    <x:t xml:space="preserve">COMIT — экономическая модель: резюме</x:t>
  </x:si>
  <x:si>
    <x:t xml:space="preserve">Стоимость найма через COMIT</x:t>
  </x:si>
  <x:si>
    <x:t xml:space="preserve">Полная стоимость найма на рынке</x:t>
  </x:si>
  <x:si>
    <x:t xml:space="preserve">Экономия работодателя</x:t>
  </x:si>
  <x:si>
    <x:t xml:space="preserve">Платящих на мес 24</x:t>
  </x:si>
  <x:si>
    <x:t xml:space="preserve">ARR к месяцу 24</x:t>
  </x:si>
  <x:si>
    <x:t xml:space="preserve">Месяц выхода EBITDA в плюс</x:t>
  </x:si>
  <x:si>
    <x:t xml:space="preserve">LTV / CAC</x:t>
  </x:si>
  <x:si>
    <x:t xml:space="preserve">Валовая маржа</x:t>
  </x:si>
  <x:si>
    <x:t xml:space="preserve">Выводы</x:t>
  </x:si>
  <x:si>
    <x:t xml:space="preserve">Структура выручки, месяц 24 (данные графика):</x:t>
  </x:si>
  <x:si>
    <x:t xml:space="preserve">Канал</x:t>
  </x:si>
  <x:si>
    <x:t xml:space="preserve">Выручка, ₽</x:t>
  </x:si>
  <x:si>
    <x:t xml:space="preserve">Подписки «Старт»</x:t>
  </x:si>
  <x:si>
    <x:t xml:space="preserve">Подписки «Бизнес»</x:t>
  </x:si>
  <x:si>
    <x:t xml:space="preserve">Разовые (вакансии+приглашения)</x:t>
  </x:si>
  <x:si>
    <x:t xml:space="preserve">Штрафы SLA</x:t>
  </x:si>
  <x:si>
    <x:t xml:space="preserve">Допущения модели — все входные параметры</x:t>
  </x:si>
  <x:si>
    <x:t xml:space="preserve">Параметр</x:t>
  </x:si>
  <x:si>
    <x:t xml:space="preserve">Значение</x:t>
  </x:si>
  <x:si>
    <x:t xml:space="preserve">Ед. изм.</x:t>
  </x:si>
  <x:si>
    <x:t xml:space="preserve">Источник / комментарий</x:t>
  </x:si>
  <x:si>
    <x:t xml:space="preserve">1. Рынок труда (бенчмарки из открытых источников)</x:t>
  </x:si>
  <x:si>
    <x:t xml:space="preserve">Медианная ЗП IT-специалиста</x:t>
  </x:si>
  <x:si>
    <x:t xml:space="preserve">₽/мес</x:t>
  </x:si>
  <x:si>
    <x:t xml:space="preserve">Хабр Карьера, 1П2025 (career.habr.com)</x:t>
  </x:si>
  <x:si>
    <x:t xml:space="preserve">ЗП Junior-разработчика</x:t>
  </x:si>
  <x:si>
    <x:t xml:space="preserve">Skillbox, авг 2025</x:t>
  </x:si>
  <x:si>
    <x:t xml:space="preserve">ЗП Middle-разработчика</x:t>
  </x:si>
  <x:si>
    <x:t xml:space="preserve">ЗП Senior-разработчика</x:t>
  </x:si>
  <x:si>
    <x:t xml:space="preserve">Комиссия IT-агентств (средняя)</x:t>
  </x:si>
  <x:si>
    <x:t xml:space="preserve">% год. дохода</x:t>
  </x:si>
  <x:si>
    <x:t xml:space="preserve">IT-Atlas 10–25%, Lucky Hunter 19–23%, скрин: 15–25%</x:t>
  </x:si>
  <x:si>
    <x:t xml:space="preserve">Полный cost-per-hire на рынке</x:t>
  </x:si>
  <x:si>
    <x:t xml:space="preserve">% годовой ЗП</x:t>
  </x:si>
  <x:si>
    <x:t xml:space="preserve">скрин пользователя: 25–30% годовой зарплаты</x:t>
  </x:si>
  <x:si>
    <x:t xml:space="preserve">Cost-per-hire площадок (нижняя граница)</x:t>
  </x:si>
  <x:si>
    <x:t xml:space="preserve">₽</x:t>
  </x:si>
  <x:si>
    <x:t xml:space="preserve">vc.ru: полный CPH &gt; 43 000 ₽ на закрытую вакансию</x:t>
  </x:si>
  <x:si>
    <x:t xml:space="preserve">Время найма IT-специалиста (рынок)</x:t>
  </x:si>
  <x:si>
    <x:t xml:space="preserve">мес</x:t>
  </x:si>
  <x:si>
    <x:t xml:space="preserve">скрин пользователя: 1,5–2 месяца</x:t>
  </x:si>
  <x:si>
    <x:t xml:space="preserve">Часы HR на один найм (рынок)</x:t>
  </x:si>
  <x:si>
    <x:t xml:space="preserve">ч</x:t>
  </x:si>
  <x:si>
    <x:t xml:space="preserve">скрин пользователя: десятки—110+ часов</x:t>
  </x:si>
  <x:si>
    <x:t xml:space="preserve">Стоимость часа рекрутера</x:t>
  </x:si>
  <x:si>
    <x:t xml:space="preserve">₽/ч</x:t>
  </x:si>
  <x:si>
    <x:t xml:space="preserve">рекрутер ~120–150 тыс ₽/мес gross + взносы ~30%</x:t>
  </x:si>
  <x:si>
    <x:t xml:space="preserve">Часы HR на найм через COMIT</x:t>
  </x:si>
  <x:si>
    <x:t xml:space="preserve">Доступ к базе резюме hh.ru (7 дней, Москва)</x:t>
  </x:si>
  <x:si>
    <x:t xml:space="preserve">heaad.ru, 2025</x:t>
  </x:si>
  <x:si>
    <x:t xml:space="preserve">Вакансия Хабр Карьера «Стандарт» (Москва, 30 дн)</x:t>
  </x:si>
  <x:si>
    <x:t xml:space="preserve">career.habr.com/price</x:t>
  </x:si>
  <x:si>
    <x:t xml:space="preserve">Вакансия hh.ru (пакетная, средняя)</x:t>
  </x:si>
  <x:si>
    <x:t xml:space="preserve">jcat.ru: 6 200 ₽ за 10 размещений</x:t>
  </x:si>
  <x:si>
    <x:t xml:space="preserve">2. Тарифы COMIT (ключевые редактируемые параметры)</x:t>
  </x:si>
  <x:si>
    <x:t xml:space="preserve">Средняя цена вакансии (микс)</x:t>
  </x:si>
  <x:si>
    <x:t xml:space="preserve">Штраф за просрочку обратной связи</x:t>
  </x:si>
  <x:si>
    <x:t xml:space="preserve">Доля вакансий с просрочкой</x:t>
  </x:si>
  <x:si>
    <x:t xml:space="preserve">%</x:t>
  </x:si>
  <x:si>
    <x:t xml:space="preserve">консервативная оценка действия SLA</x:t>
  </x:si>
  <x:si>
    <x:t xml:space="preserve">Подписка «Старт», месяц</x:t>
  </x:si>
  <x:si>
    <x:t xml:space="preserve">Подписка «Бизнес», месяц</x:t>
  </x:si>
  <x:si>
    <x:t xml:space="preserve">Доля «Старт» среди платящих</x:t>
  </x:si>
  <x:si>
    <x:t xml:space="preserve">целевой микс базы</x:t>
  </x:si>
  <x:si>
    <x:t xml:space="preserve">Доля «Бизнес» среди платящих</x:t>
  </x:si>
  <x:si>
    <x:t xml:space="preserve">Доля разовых (без подписки)</x:t>
  </x:si>
  <x:si>
    <x:t xml:space="preserve">остаток базы</x:t>
  </x:si>
  <x:si>
    <x:t xml:space="preserve">3. Воронка найма через COMIT</x:t>
  </x:si>
  <x:si>
    <x:t xml:space="preserve">Приглашений на один закрытый найм</x:t>
  </x:si>
  <x:si>
    <x:t xml:space="preserve">шт</x:t>
  </x:si>
  <x:si>
    <x:t xml:space="preserve">Вакансий на активного разового, мес</x:t>
  </x:si>
  <x:si>
    <x:t xml:space="preserve">шт/мес</x:t>
  </x:si>
  <x:si>
    <x:t xml:space="preserve">средняя активность</x:t>
  </x:si>
  <x:si>
    <x:t xml:space="preserve">Приглашений на активного разового, мес</x:t>
  </x:si>
  <x:si>
    <x:t xml:space="preserve">Вакансий на подписку «Старт», мес</x:t>
  </x:si>
  <x:si>
    <x:t xml:space="preserve">Вакансий на подписку «Бизнес», мес</x:t>
  </x:si>
  <x:si>
    <x:t xml:space="preserve">Приглашений на «Старт», мес</x:t>
  </x:si>
  <x:si>
    <x:t xml:space="preserve">Приглашений на «Бизнес», мес</x:t>
  </x:si>
  <x:si>
    <x:t xml:space="preserve">Активность разовых в месяц</x:t>
  </x:si>
  <x:si>
    <x:t xml:space="preserve">доля разовых, платящих в конкретном месяце</x:t>
  </x:si>
  <x:si>
    <x:t xml:space="preserve">4. LLM и инфраструктура</x:t>
  </x:si>
  <x:si>
    <x:t xml:space="preserve">DeepSeek API: вход</x:t>
  </x:si>
  <x:si>
    <x:t xml:space="preserve">$/1M токенов</x:t>
  </x:si>
  <x:si>
    <x:t xml:space="preserve">DeepSeek API: выход</x:t>
  </x:si>
  <x:si>
    <x:t xml:space="preserve">Курс USD (фиксация)</x:t>
  </x:si>
  <x:si>
    <x:t xml:space="preserve">₽/$</x:t>
  </x:si>
  <x:si>
    <x:t xml:space="preserve">как в учётной политике репозитория</x:t>
  </x:si>
  <x:si>
    <x:t xml:space="preserve">Токены на вакансию: вход / выход</x:t>
  </x:si>
  <x:si>
    <x:t xml:space="preserve">токенов</x:t>
  </x:si>
  <x:si>
    <x:t xml:space="preserve">черновик вакансии агентом</x:t>
  </x:si>
  <x:si>
    <x:t xml:space="preserve">Токены на вакансию: выход</x:t>
  </x:si>
  <x:si>
    <x:t xml:space="preserve">Токены на приглашение: вход / выход</x:t>
  </x:si>
  <x:si>
    <x:t xml:space="preserve">карточка кандидата и пояснение</x:t>
  </x:si>
  <x:si>
    <x:t xml:space="preserve">Токены на приглашение: выход</x:t>
  </x:si>
  <x:si>
    <x:t xml:space="preserve">Токены на чат агента: вход / выход</x:t>
  </x:si>
  <x:si>
    <x:t xml:space="preserve">Токены на чат агента: выход</x:t>
  </x:si>
  <x:si>
    <x:t xml:space="preserve">Себестоимость LLM: вакансия</x:t>
  </x:si>
  <x:si>
    <x:t xml:space="preserve">расчёт от токенов и тарифа</x:t>
  </x:si>
  <x:si>
    <x:t xml:space="preserve">Себестоимость LLM: приглашение</x:t>
  </x:si>
  <x:si>
    <x:t xml:space="preserve">Себестоимость LLM: чат</x:t>
  </x:si>
  <x:si>
    <x:t xml:space="preserve">Чатов агента на работодателя, мес</x:t>
  </x:si>
  <x:si>
    <x:t xml:space="preserve">Запас на повторы LLM-вызовов</x:t>
  </x:si>
  <x:si>
    <x:t xml:space="preserve">×</x:t>
  </x:si>
  <x:si>
    <x:t xml:space="preserve">рирайты, ретраи, валидация</x:t>
  </x:si>
  <x:si>
    <x:t xml:space="preserve">Инфраструктура: фикс</x:t>
  </x:si>
  <x:si>
    <x:t xml:space="preserve">серверы, домены, почта, мониторинг</x:t>
  </x:si>
  <x:si>
    <x:t xml:space="preserve">Инфраструктура: на работодателя</x:t>
  </x:si>
  <x:si>
    <x:t xml:space="preserve">масштабирование БД/поиска</x:t>
  </x:si>
  <x:si>
    <x:t xml:space="preserve">5. Рост и отток (базовый сценарий)</x:t>
  </x:si>
  <x:si>
    <x:t xml:space="preserve">Новых триалов в месяц 1</x:t>
  </x:si>
  <x:si>
    <x:t xml:space="preserve">хакатонная известность + прямой аутрич</x:t>
  </x:si>
  <x:si>
    <x:t xml:space="preserve">Рост триалов в месяц</x:t>
  </x:si>
  <x:si>
    <x:t xml:space="preserve">%/мес</x:t>
  </x:si>
  <x:si>
    <x:t xml:space="preserve">контент + партнёрства (ФСП, вузы)</x:t>
  </x:si>
  <x:si>
    <x:t xml:space="preserve">Потолок триалов в месяц</x:t>
  </x:si>
  <x:si>
    <x:t xml:space="preserve">ёмкость онбординга и поддержки</x:t>
  </x:si>
  <x:si>
    <x:t xml:space="preserve">Конверсия триал → платящий</x:t>
  </x:si>
  <x:si>
    <x:t xml:space="preserve">B2B SaaS freemium-бенчмарк 15–40%</x:t>
  </x:si>
  <x:si>
    <x:t xml:space="preserve">Прямые продажи, новых в месяц</x:t>
  </x:si>
  <x:si>
    <x:t xml:space="preserve">внутренние продажи без триала</x:t>
  </x:si>
  <x:si>
    <x:t xml:space="preserve">Отток платящих в месяц</x:t>
  </x:si>
  <x:si>
    <x:t xml:space="preserve">средняя жизнь клиента 20 мес</x:t>
  </x:si>
  <x:si>
    <x:t xml:space="preserve">6. Маркетинг и платёжные издержки</x:t>
  </x:si>
  <x:si>
    <x:t xml:space="preserve">Стоимость привлечения триала</x:t>
  </x:si>
  <x:si>
    <x:t xml:space="preserve">B2B-лид в РФ (таргет + контент)</x:t>
  </x:si>
  <x:si>
    <x:t xml:space="preserve">Стоимость прямой продажи</x:t>
  </x:si>
  <x:si>
    <x:t xml:space="preserve">время сейлза на одну закрытую сделку</x:t>
  </x:si>
  <x:si>
    <x:t xml:space="preserve">Эквайринг</x:t>
  </x:si>
  <x:si>
    <x:t xml:space="preserve">% выручки</x:t>
  </x:si>
  <x:si>
    <x:t xml:space="preserve">ЮKassa / CloudPayments ~2,8%</x:t>
  </x:si>
  <x:si>
    <x:t xml:space="preserve">Поддержка на один триал</x:t>
  </x:si>
  <x:si>
    <x:t xml:space="preserve">онбординг-созвон и ответы</x:t>
  </x:si>
  <x:si>
    <x:t xml:space="preserve">7. Команда и постоянные расходы</x:t>
  </x:si>
  <x:si>
    <x:t xml:space="preserve">ФОТ + взносы, мес 1–6</x:t>
  </x:si>
  <x:si>
    <x:t xml:space="preserve">3 чел. частичная занятость</x:t>
  </x:si>
  <x:si>
    <x:t xml:space="preserve">ФОТ + взносы, мес 7–24</x:t>
  </x:si>
  <x:si>
    <x:t xml:space="preserve">5 чел. (2 dev, 1 ML, 1 product, 1 sales)</x:t>
  </x:si>
  <x:si>
    <x:t xml:space="preserve">Прочие постоянные расходы</x:t>
  </x:si>
  <x:si>
    <x:t xml:space="preserve">юр., бухгалтерия, софт</x:t>
  </x:si>
  <x:si>
    <x:t xml:space="preserve">Синий шрифт — входные параметры (можно менять); жёлтая заливка — ключевые драйверы; чёрный — расчёт. Все листы модели ссылаются на этот лист.</x:t>
  </x:si>
  <x:si>
    <x:t xml:space="preserve">Рынок: бенчмарки и конкуренты (открытые источники, окт 2026)</x:t>
  </x:si>
  <x:si>
    <x:t xml:space="preserve">Показатель</x:t>
  </x:si>
  <x:si>
    <x:t xml:space="preserve">Ед.</x:t>
  </x:si>
  <x:si>
    <x:t xml:space="preserve">Источник</x:t>
  </x:si>
  <x:si>
    <x:t xml:space="preserve">Комментарий</x:t>
  </x:si>
  <x:si>
    <x:t xml:space="preserve">Зарплаты и рынок труда</x:t>
  </x:si>
  <x:si>
    <x:t xml:space="preserve">Медианная ЗП IT-специалиста, РФ</x:t>
  </x:si>
  <x:si>
    <x:t xml:space="preserve">182 700</x:t>
  </x:si>
  <x:si>
    <x:t xml:space="preserve">Хабр Карьера, 1П2025</x:t>
  </x:si>
  <x:si>
    <x:t xml:space="preserve">фактическая медиана, +2% г/г</x:t>
  </x:si>
  <x:si>
    <x:t xml:space="preserve">Средняя ЗП в IT, РФ (3 кв 2025)</x:t>
  </x:si>
  <x:si>
    <x:t xml:space="preserve">196 500</x:t>
  </x:si>
  <x:si>
    <x:t xml:space="preserve">TAdviser / Росстат</x:t>
  </x:si>
  <x:si>
    <x:t xml:space="preserve">начисленная</x:t>
  </x:si>
  <x:si>
    <x:t xml:space="preserve">ЗП Junior / Middle / Senior</x:t>
  </x:si>
  <x:si>
    <x:t xml:space="preserve">77 / 167 / 280 тыс</x:t>
  </x:si>
  <x:si>
    <x:t xml:space="preserve">по грейдам</x:t>
  </x:si>
  <x:si>
    <x:t xml:space="preserve">Активные резюме на hh.ru (июнь 2025)</x:t>
  </x:si>
  <x:si>
    <x:t xml:space="preserve">3,24 млн</x:t>
  </x:si>
  <x:si>
    <x:t xml:space="preserve">hh.ru / stats.hh.ru</x:t>
  </x:si>
  <x:si>
    <x:t xml:space="preserve">+25% г/г — конкуренция кандидатов растёт</x:t>
  </x:si>
  <x:si>
    <x:t xml:space="preserve">IT-вакансии за 1П2025</x:t>
  </x:si>
  <x:si>
    <x:t xml:space="preserve">291 тыс</x:t>
  </x:si>
  <x:si>
    <x:t xml:space="preserve">proglib.io</x:t>
  </x:si>
  <x:si>
    <x:t xml:space="preserve">падение с 352,5 тыс (-17% г/г)</x:t>
  </x:si>
  <x:si>
    <x:t xml:space="preserve">hh-индекс IT (конкуренция)</x:t>
  </x:si>
  <x:si>
    <x:t xml:space="preserve">22–26</x:t>
  </x:si>
  <x:si>
    <x:t xml:space="preserve">резюме/вакансию</x:t>
  </x:si>
  <x:si>
    <x:t xml:space="preserve">stats.hh.ru (апр–авг 2026)</x:t>
  </x:si>
  <x:si>
    <x:t xml:space="preserve">порог высокой конкуренции — 12</x:t>
  </x:si>
  <x:si>
    <x:t xml:space="preserve">Стоимость найма (затраты работодателя)</x:t>
  </x:si>
  <x:si>
    <x:t xml:space="preserve">Полный cost-per-hire (все издержки)</x:t>
  </x:si>
  <x:si>
    <x:t xml:space="preserve">25–30% годовой ЗП</x:t>
  </x:si>
  <x:si>
    <x:t xml:space="preserve">—</x:t>
  </x:si>
  <x:si>
    <x:t xml:space="preserve">скрин пользователя (междунар. бенчмарки)</x:t>
  </x:si>
  <x:si>
    <x:t xml:space="preserve">≈ 548–658 тыс ₽ на IT-найм при медианной ЗП</x:t>
  </x:si>
  <x:si>
    <x:t xml:space="preserve">Cost-per-hire через площадки</x:t>
  </x:si>
  <x:si>
    <x:t xml:space="preserve">&gt; 43 000</x:t>
  </x:si>
  <x:si>
    <x:t xml:space="preserve">vc.ru</x:t>
  </x:si>
  <x:si>
    <x:t xml:space="preserve">нижняя граница прямых затрат</x:t>
  </x:si>
  <x:si>
    <x:t xml:space="preserve">Комиссия IT-рекрутингового агентства</x:t>
  </x:si>
  <x:si>
    <x:t xml:space="preserve">10–25% годового дохода</x:t>
  </x:si>
  <x:si>
    <x:t xml:space="preserve">IT-Atlas; Lucky Hunter 19–23%; скрин 15–25%</x:t>
  </x:si>
  <x:si>
    <x:t xml:space="preserve">≈ 330–550 тыс ₽ за найм</x:t>
  </x:si>
  <x:si>
    <x:t xml:space="preserve">Время закрытия IT-вакансии</x:t>
  </x:si>
  <x:si>
    <x:t xml:space="preserve">1,5–2 мес</x:t>
  </x:si>
  <x:si>
    <x:t xml:space="preserve">скрин пользователя; Т-Банк/Инфосистема Джет</x:t>
  </x:si>
  <x:si>
    <x:t xml:space="preserve">до 2 000 откликов на одну IT-вакансию</x:t>
  </x:si>
  <x:si>
    <x:t xml:space="preserve">Часы HR на один найм</x:t>
  </x:si>
  <x:si>
    <x:t xml:space="preserve">40–110+</x:t>
  </x:si>
  <x:si>
    <x:t xml:space="preserve">скрин пользователя</x:t>
  </x:si>
  <x:si>
    <x:t xml:space="preserve">просмотр, скрининг, интервью</x:t>
  </x:si>
  <x:si>
    <x:t xml:space="preserve">Тарифы площадок (конкуренты)</x:t>
  </x:si>
  <x:si>
    <x:t xml:space="preserve">hh.ru: промо «Вакансия за 199 ₽»</x:t>
  </x:si>
  <x:si>
    <x:t xml:space="preserve">199</x:t>
  </x:si>
  <x:si>
    <x:t xml:space="preserve">hh.ru (акция для новых клиентов)</x:t>
  </x:si>
  <x:si>
    <x:t xml:space="preserve">Стандарт Плюс, 1 шт, вкл. НДС</x:t>
  </x:si>
  <x:si>
    <x:t xml:space="preserve">hh.ru: пакет размещений</x:t>
  </x:si>
  <x:si>
    <x:t xml:space="preserve">≈ 620–830</x:t>
  </x:si>
  <x:si>
    <x:t xml:space="preserve">₽/вакансия</x:t>
  </x:si>
  <x:si>
    <x:t xml:space="preserve">jcat.ru: 6 200 ₽ за 10 вакансий</x:t>
  </x:si>
  <x:si>
    <x:t xml:space="preserve">цены динамические, зависят от региона</x:t>
  </x:si>
  <x:si>
    <x:t xml:space="preserve">hh.ru: доступ к базе резюме (7 дней)</x:t>
  </x:si>
  <x:si>
    <x:t xml:space="preserve">22 080</x:t>
  </x:si>
  <x:si>
    <x:t xml:space="preserve">heaad.ru (Москва)</x:t>
  </x:si>
  <x:si>
    <x:t xml:space="preserve">по России — 27 670 ₽; до 8 000 просмотров/сут</x:t>
  </x:si>
  <x:si>
    <x:t xml:space="preserve">Хабр Карьера: вакансия «Стандарт», Москва</x:t>
  </x:si>
  <x:si>
    <x:t xml:space="preserve">4 026</x:t>
  </x:si>
  <x:si>
    <x:t xml:space="preserve">₽/30 дн</x:t>
  </x:si>
  <x:si>
    <x:t xml:space="preserve">«Стандарт плюс» — 7 808 ₽</x:t>
  </x:si>
  <x:si>
    <x:t xml:space="preserve">Хабр Карьера: модель 2025 года</x:t>
  </x:si>
  <x:si>
    <x:t xml:space="preserve">0 + 300 ₽/отклик</x:t>
  </x:si>
  <x:si>
    <x:t xml:space="preserve">habr.com/news, июнь 2025</x:t>
  </x:si>
  <x:si>
    <x:t xml:space="preserve">бесплатное размещение для малого/среднего бизнеса</x:t>
  </x:si>
  <x:si>
    <x:t xml:space="preserve">Хабр Карьера: поднятие/выделение вакансии</x:t>
  </x:si>
  <x:si>
    <x:t xml:space="preserve">1 220</x:t>
  </x:si>
  <x:si>
    <x:t xml:space="preserve">разовые продвижения</x:t>
  </x:si>
  <x:si>
    <x:t xml:space="preserve">Рекрутер-фрилансер за подбор</x:t>
  </x:si>
  <x:si>
    <x:t xml:space="preserve">10 000–20 000+</x:t>
  </x:si>
  <x:si>
    <x:t xml:space="preserve">HRTime</x:t>
  </x:si>
  <x:si>
    <x:t xml:space="preserve">для сложных IT-позиций существенно дороже</x:t>
  </x:si>
  <x:si>
    <x:t xml:space="preserve">Рынок в целом</x:t>
  </x:si>
  <x:si>
    <x:t xml:space="preserve">Выручка hh.ru за 2025</x:t>
  </x:si>
  <x:si>
    <x:t xml:space="preserve">41,2 млрд</x:t>
  </x:si>
  <x:si>
    <x:t xml:space="preserve">TAdviser / Ведомости</x:t>
  </x:si>
  <x:si>
    <x:t xml:space="preserve">+4% г/г; чистая прибыль 18,18 млрд ₽</x:t>
  </x:si>
  <x:si>
    <x:t xml:space="preserve">Рынок рекрутмента РФ (оценка TAM)</x:t>
  </x:si>
  <x:si>
    <x:t xml:space="preserve">&gt; 500 млрд</x:t>
  </x:si>
  <x:si>
    <x:t xml:space="preserve">₽/год</x:t>
  </x:si>
  <x:si>
    <x:t xml:space="preserve">инвест. презентация HeadHunter</x:t>
  </x:si>
  <x:si>
    <x:t xml:space="preserve">вкл. HRtech</x:t>
  </x:si>
  <x:si>
    <x:t xml:space="preserve">LLM-затраты (для себестоимости COMIT)</x:t>
  </x:si>
  <x:si>
    <x:t xml:space="preserve">DeepSeek API: вход / выход</x:t>
  </x:si>
  <x:si>
    <x:t xml:space="preserve">$0.20 / $0.70</x:t>
  </x:si>
  <x:si>
    <x:t xml:space="preserve">api-docs.deepseek.com + репозиторий</x:t>
  </x:si>
  <x:si>
    <x:t xml:space="preserve">значения из .env агента проекта</x:t>
  </x:si>
  <x:si>
    <x:t xml:space="preserve">Тариф / услуга</x:t>
  </x:si>
  <x:si>
    <x:t xml:space="preserve">Цена</x:t>
  </x:si>
  <x:si>
    <x:t xml:space="preserve">Что входит</x:t>
  </x:si>
  <x:si>
    <x:t xml:space="preserve">Лимиты</x:t>
  </x:si>
  <x:si>
    <x:t xml:space="preserve">Рыночный аналог (цена)</x:t>
  </x:si>
  <x:si>
    <x:t xml:space="preserve">1 вакансия, 10 приглашений, ИИ-черновик вакансии, категории + подобранные ленты, грейд-тесты кандидатов уже включены</x:t>
  </x:si>
  <x:si>
    <x:t xml:space="preserve">14 дней, 1 триал на ИНН, без привязки карты</x:t>
  </x:si>
  <x:si>
    <x:t xml:space="preserve">промо hh «Вакансия за 199 ₽»; freemium Хабра (0 ₽ + 300 ₽/отклик)</x:t>
  </x:si>
  <x:si>
    <x:t xml:space="preserve">Разовый (pay-as-you-go)</x:t>
  </x:si>
  <x:si>
    <x:t xml:space="preserve">без подписки, оплата по факту</x:t>
  </x:si>
  <x:si>
    <x:t xml:space="preserve">10 вакансий, 200 приглашений, ИИ-ассистент до 1 000 ₽/мес, статистика</x:t>
  </x:si>
  <x:si>
    <x:t xml:space="preserve">на месяц, автопродление</x:t>
  </x:si>
  <x:si>
    <x:t xml:space="preserve">доступ к базе hh 22 080 ₽ за 7 дней</x:t>
  </x:si>
  <x:si>
    <x:t xml:space="preserve">вакансии без лимита, 1 000 приглашений, ИИ до 5 000 ₽/мес, приоритетная поддержка, API</x:t>
  </x:si>
  <x:si>
    <x:t xml:space="preserve">агентство: 20% годового дохода (≈ 438 тыс ₽/найм)</x:t>
  </x:si>
  <x:si>
    <x:t xml:space="preserve">просмотр контакта из базы hh (в пакете доступа)</x:t>
  </x:si>
  <x:si>
    <x:t xml:space="preserve">соц-механика SLA: обе стороны обязаны дать ОС</x:t>
  </x:si>
  <x:si>
    <x:t xml:space="preserve">уникальная механика COMIT — нет аналогов</x:t>
  </x:si>
  <x:si>
    <x:t xml:space="preserve">Канал найма</x:t>
  </x:si>
  <x:si>
    <x:t xml:space="preserve">Прямые затраты, ₽</x:t>
  </x:si>
  <x:si>
    <x:t xml:space="preserve">Часы HR</x:t>
  </x:si>
  <x:si>
    <x:t xml:space="preserve">Стоимость HR-времени, ₽</x:t>
  </x:si>
  <x:si>
    <x:t xml:space="preserve">ВСЕГО, ₽</x:t>
  </x:si>
  <x:si>
    <x:t xml:space="preserve">Время найма, мес / экономия, %</x:t>
  </x:si>
  <x:si>
    <x:t xml:space="preserve">Канал (данные графика)</x:t>
  </x:si>
  <x:si>
    <x:t xml:space="preserve">Всего, ₽</x:t>
  </x:si>
  <x:si>
    <x:t xml:space="preserve">COMIT — разовый тариф</x:t>
  </x:si>
  <x:si>
    <x:t xml:space="preserve">COMIT разовый</x:t>
  </x:si>
  <x:si>
    <x:t xml:space="preserve">COMIT — подписка «Старт» (на найм)</x:t>
  </x:si>
  <x:si>
    <x:t xml:space="preserve">2 найма/мес у подписчика (лимит 200 приглашений ≈ 11 наймов)</x:t>
  </x:si>
  <x:si>
    <x:t xml:space="preserve">COMIT «Старт»</x:t>
  </x:si>
  <x:si>
    <x:t xml:space="preserve">hh.ru самостоятельно</x:t>
  </x:si>
  <x:si>
    <x:t xml:space="preserve">2 вакансии + доступ к базе 7 дней; сотни откликов на вакансию</x:t>
  </x:si>
  <x:si>
    <x:t xml:space="preserve">hh.ru самост.</x:t>
  </x:si>
  <x:si>
    <x:t xml:space="preserve">Хабр Карьера</x:t>
  </x:si>
  <x:si>
    <x:t xml:space="preserve">вакансия «Стандарт» + выделение; 70 ч HR</x:t>
  </x:si>
  <x:si>
    <x:t xml:space="preserve">IT-агентство</x:t>
  </x:si>
  <x:si>
    <x:t xml:space="preserve">гонорар 20% годового дохода + курирование</x:t>
  </x:si>
  <x:si>
    <x:t xml:space="preserve">Агентство</x:t>
  </x:si>
  <x:si>
    <x:t xml:space="preserve">Полная стоимость найма (рынок)</x:t>
  </x:si>
  <x:si>
    <x:t xml:space="preserve">25–30% годовой ЗП: все издержки вкл. простой и онбординг</x:t>
  </x:si>
  <x:si>
    <x:t xml:space="preserve">Полная ст-ть найма</x:t>
  </x:si>
  <x:si>
    <x:t xml:space="preserve">In-house рекрутер</x:t>
  </x:si>
  <x:si>
    <x:t xml:space="preserve">130 тыс ₽/мес × 1,3 (взносы) × 1,75 мес</x:t>
  </x:si>
  <x:si>
    <x:t xml:space="preserve">Экономия: COMIT (разовый) против IT-агентства</x:t>
  </x:si>
  <x:si>
    <x:t xml:space="preserve">Экономия: COMIT (разовый) против полной рыночной стоимости найма</x:t>
  </x:si>
  <x:si>
    <x:t xml:space="preserve">Условия триала «Первый найм»</x:t>
  </x:si>
  <x:si>
    <x:t xml:space="preserve">Длительность</x:t>
  </x:si>
  <x:si>
    <x:t xml:space="preserve">14 дней с момента активации</x:t>
  </x:si>
  <x:si>
    <x:t xml:space="preserve">1 вакансия с ИИ-черновиком, 10 приглашений кандидатам с ЗП, полный доступ к категориям и подобранным лентам, грейд-тесты кандидатов уже пройдены</x:t>
  </x:si>
  <x:si>
    <x:t xml:space="preserve">Оплата</x:t>
  </x:si>
  <x:si>
    <x:t xml:space="preserve">0 ₽, без привязки карты — демо ценности до платежа</x:t>
  </x:si>
  <x:si>
    <x:t xml:space="preserve">Ограничители</x:t>
  </x:si>
  <x:si>
    <x:t xml:space="preserve">1 триал на ИНН (верификация юрлица), контакты кандидатов скрыты до принятия приглашения — как в продукте</x:t>
  </x:si>
  <x:si>
    <x:t xml:space="preserve">Окончание</x:t>
  </x:si>
  <x:si>
    <x:t xml:space="preserve">Почему именно так</x:t>
  </x:si>
  <x:si>
    <x:t xml:space="preserve">работодатель тратит 25–30% годовой ЗП на один найм (скрин): бесплатная проверка экономии сотен тысяч ₽ — сильный крючок</x:t>
  </x:si>
  <x:si>
    <x:t xml:space="preserve">Экономика триала</x:t>
  </x:si>
  <x:si>
    <x:t xml:space="preserve">Как считаем</x:t>
  </x:si>
  <x:si>
    <x:t xml:space="preserve">Себестоимость триала для COMIT, ₽</x:t>
  </x:si>
  <x:si>
    <x:t xml:space="preserve">LLM (1 вакансия + 10 приглашений + 2 чата, с запасом ×3) + поддержка + инфраструктура</x:t>
  </x:si>
  <x:si>
    <x:t xml:space="preserve">Ценность для работодателя (консервативно), ₽</x:t>
  </x:si>
  <x:si>
    <x:t xml:space="preserve">размещение вакансии по цене Хабра + скрининг 10 кандидатов (0,5 ч × ставка HR)</x:t>
  </x:si>
  <x:si>
    <x:t xml:space="preserve">Эквивалент: доступ к базе hh.ru на 7 дней, ₽</x:t>
  </x:si>
  <x:si>
    <x:t xml:space="preserve">что пришлось бы купить для тех же 10 точечных контактов</x:t>
  </x:si>
  <x:si>
    <x:t xml:space="preserve">CAC через триал, ₽</x:t>
  </x:si>
  <x:si>
    <x:t xml:space="preserve">(маркетинг на триал + себестоимость) / конверсия</x:t>
  </x:si>
  <x:si>
    <x:t xml:space="preserve">LTV платящего работодателя, ₽</x:t>
  </x:si>
  <x:si>
    <x:t xml:space="preserve">маржинальная прибыль × средняя жизнь</x:t>
  </x:si>
  <x:si>
    <x:t xml:space="preserve">LTV / CAC через триал</x:t>
  </x:si>
  <x:si>
    <x:t xml:space="preserve">здоровая экономика: &gt; 3×</x:t>
  </x:si>
  <x:si>
    <x:t xml:space="preserve">Затраты COMIT на 1 перешедшего, ₽</x:t>
  </x:si>
  <x:si>
    <x:t xml:space="preserve">совпадает с CAC через триал</x:t>
  </x:si>
  <x:si>
    <x:t xml:space="preserve">Выручка COMIT — помесячная модель, 24 месяца (базовый сценарий)</x:t>
  </x:si>
  <x:si>
    <x:t xml:space="preserve">Метрика</x:t>
  </x:si>
  <x:si>
    <x:t xml:space="preserve">Итого / финал</x:t>
  </x:si>
  <x:si>
    <x:t xml:space="preserve">Новые триалы</x:t>
  </x:si>
  <x:si>
    <x:t xml:space="preserve">Новые платящие</x:t>
  </x:si>
  <x:si>
    <x:t xml:space="preserve">Отток</x:t>
  </x:si>
  <x:si>
    <x:t xml:space="preserve">Платящие (конец месяца)</x:t>
  </x:si>
  <x:si>
    <x:t xml:space="preserve">  в т.ч. подписка «Старт»</x:t>
  </x:si>
  <x:si>
    <x:t xml:space="preserve">  в т.ч. подписка «Бизнес»</x:t>
  </x:si>
  <x:si>
    <x:t xml:space="preserve">  в т.ч. разовые</x:t>
  </x:si>
  <x:si>
    <x:t xml:space="preserve">Вакансий за месяц</x:t>
  </x:si>
  <x:si>
    <x:t xml:space="preserve">Приглашений за месяц</x:t>
  </x:si>
  <x:si>
    <x:t xml:space="preserve">Выручка: подписки «Старт», ₽</x:t>
  </x:si>
  <x:si>
    <x:t xml:space="preserve">Выручка: подписки «Бизнес», ₽</x:t>
  </x:si>
  <x:si>
    <x:t xml:space="preserve">Выручка: разовые, ₽</x:t>
  </x:si>
  <x:si>
    <x:t xml:space="preserve">Выручка: штрафы SLA, ₽</x:t>
  </x:si>
  <x:si>
    <x:t xml:space="preserve">ИТОГО выручка, ₽</x:t>
  </x:si>
  <x:si>
    <x:t xml:space="preserve">Накопленная выручка, ₽</x:t>
  </x:si>
  <x:si>
    <x:t xml:space="preserve">Данные графика (значения из модели):</x:t>
  </x:si>
  <x:si>
    <x:t xml:space="preserve">Месяц</x:t>
  </x:si>
  <x:si>
    <x:t xml:space="preserve">EBITDA, ₽</x:t>
  </x:si>
  <x:si>
    <x:t xml:space="preserve">Затраты COMIT — помесячная модель, 24 месяца</x:t>
  </x:si>
  <x:si>
    <x:t xml:space="preserve">Статья затрат</x:t>
  </x:si>
  <x:si>
    <x:t xml:space="preserve">Итого</x:t>
  </x:si>
  <x:si>
    <x:t xml:space="preserve">Вакансий (из «Выручка»)</x:t>
  </x:si>
  <x:si>
    <x:t xml:space="preserve">Приглашений (из «Выручка»)</x:t>
  </x:si>
  <x:si>
    <x:t xml:space="preserve">Чаты агентов</x:t>
  </x:si>
  <x:si>
    <x:t xml:space="preserve">LLM-затраты, ₽</x:t>
  </x:si>
  <x:si>
    <x:t xml:space="preserve">Инфраструктура, ₽</x:t>
  </x:si>
  <x:si>
    <x:t xml:space="preserve">Маркетинг, ₽</x:t>
  </x:si>
  <x:si>
    <x:t xml:space="preserve">Эквайринг, ₽</x:t>
  </x:si>
  <x:si>
    <x:t xml:space="preserve">ФОТ + взносы, ₽</x:t>
  </x:si>
  <x:si>
    <x:t xml:space="preserve">Прочие постоянные, ₽</x:t>
  </x:si>
  <x:si>
    <x:t xml:space="preserve">ИТОГО затрат, ₽</x:t>
  </x:si>
  <x:si>
    <x:t xml:space="preserve">Накопленный денежный поток, ₽</x:t>
  </x:si>
  <x:si>
    <x:t xml:space="preserve">Зелёный шрифт — ссылки на лист «Выручка». EBITDA здесь — до налогов и амортизации (стартап, УСН отложен).</x:t>
  </x:si>
  <x:si>
    <x:t xml:space="preserve">Юнит-экономика платящего работодателя</x:t>
  </x:si>
  <x:si>
    <x:t xml:space="preserve">ARPU (стабилизированный микс), ₽/мес</x:t>
  </x:si>
  <x:si>
    <x:t xml:space="preserve">доли × средняя выручка тарифа на работодателя</x:t>
  </x:si>
  <x:si>
    <x:t xml:space="preserve">Вакансий на платящего, мес</x:t>
  </x:si>
  <x:si>
    <x:t xml:space="preserve">для LLM-затрат</x:t>
  </x:si>
  <x:si>
    <x:t xml:space="preserve">Приглашений на платящего, мес</x:t>
  </x:si>
  <x:si>
    <x:t xml:space="preserve">LLM-затраты на работодателя, ₽/мес</x:t>
  </x:si>
  <x:si>
    <x:t xml:space="preserve">DeepSeek по тарифам из «Допущений»</x:t>
  </x:si>
  <x:si>
    <x:t xml:space="preserve">Переменные затраты на работодателя, ₽/мес</x:t>
  </x:si>
  <x:si>
    <x:t xml:space="preserve">инфраструктура + LLM + эквайринг</x:t>
  </x:si>
  <x:si>
    <x:t xml:space="preserve">Маржинальная прибыль на работодателя, ₽/мес</x:t>
  </x:si>
  <x:si>
    <x:t xml:space="preserve">ARPU − переменные</x:t>
  </x:si>
  <x:si>
    <x:t xml:space="preserve">Валовая маржа, %</x:t>
  </x:si>
  <x:si>
    <x:t xml:space="preserve">маржинальная прибыль / ARPU</x:t>
  </x:si>
  <x:si>
    <x:t xml:space="preserve">Отток в месяц</x:t>
  </x:si>
  <x:si>
    <x:t xml:space="preserve">допущение</x:t>
  </x:si>
  <x:si>
    <x:t xml:space="preserve">Средняя жизнь клиента, мес</x:t>
  </x:si>
  <x:si>
    <x:t xml:space="preserve">1 / отток</x:t>
  </x:si>
  <x:si>
    <x:t xml:space="preserve">LTV, ₽</x:t>
  </x:si>
  <x:si>
    <x:t xml:space="preserve">маржинальная прибыль × жизнь</x:t>
  </x:si>
  <x:si>
    <x:t xml:space="preserve">CAC (смешанный, мес 7–12), ₽</x:t>
  </x:si>
  <x:si>
    <x:t xml:space="preserve">средний маркетинг / средние новые платящие</x:t>
  </x:si>
  <x:si>
    <x:t xml:space="preserve">Окупаемость CAC, мес</x:t>
  </x:si>
  <x:si>
    <x:t xml:space="preserve">CAC / маржинальная прибыль</x:t>
  </x:si>
  <x:si>
    <x:t xml:space="preserve">ARR на одного платящего, ₽/год</x:t>
  </x:si>
  <x:si>
    <x:t xml:space="preserve">ARPU × 12</x:t>
  </x:si>
  <x:si>
    <x:t xml:space="preserve">Точка безубыточности</x:t>
  </x:si>
  <x:si>
    <x:t xml:space="preserve">Постоянные затраты (мес 7–24), ₽/мес</x:t>
  </x:si>
  <x:si>
    <x:t xml:space="preserve">ФОТ 5 чел. + инфраструктура-фикс + прочие (маркетинг — переменный, в CAC)</x:t>
  </x:si>
  <x:si>
    <x:t xml:space="preserve">из юнит-экономики</x:t>
  </x:si>
  <x:si>
    <x:t xml:space="preserve">Точка безубыточности, платящих работодателей</x:t>
  </x:si>
  <x:si>
    <x:t xml:space="preserve">постоянные / маржинальная прибыль</x:t>
  </x:si>
  <x:si>
    <x:t xml:space="preserve">первый месяц с EBITDA &gt; 0 по помесячной модели</x:t>
  </x:si>
  <x:si>
    <x:t xml:space="preserve">Платящих на конец мес 24 (база)</x:t>
  </x:si>
  <x:si>
    <x:t xml:space="preserve">из модели выручки</x:t>
  </x:si>
  <x:si>
    <x:t xml:space="preserve">Максимальная потребность в деньгах (кумулятивный минимум), ₽</x:t>
  </x:si>
  <x:si>
    <x:t xml:space="preserve">глубина кассового разрыва до выхода в плюс</x:t>
  </x:si>
  <x:si>
    <x:t xml:space="preserve">Затраты, ₽</x:t>
  </x:si>
  <x:si>
    <x:t xml:space="preserve">Сценарии и чувствительность</x:t>
  </x:si>
  <x:si>
    <x:t xml:space="preserve">Параметры сценариев (меняются вручную)</x:t>
  </x:si>
  <x:si>
    <x:t xml:space="preserve">Драйвер</x:t>
  </x:si>
  <x:si>
    <x:t xml:space="preserve">Пессимистичный</x:t>
  </x:si>
  <x:si>
    <x:t xml:space="preserve">Базовый</x:t>
  </x:si>
  <x:si>
    <x:t xml:space="preserve">Оптимистичный</x:t>
  </x:si>
  <x:si>
    <x:t xml:space="preserve">Стоимость привлечения триала, ₽</x:t>
  </x:si>
  <x:si>
    <x:t xml:space="preserve">Результаты сценариев (мес 24)</x:t>
  </x:si>
  <x:si>
    <x:t xml:space="preserve">Платящих работодателей на мес 24</x:t>
  </x:si>
  <x:si>
    <x:t xml:space="preserve">Выручка в месяц 24, ₽</x:t>
  </x:si>
  <x:si>
    <x:t xml:space="preserve">ARR (годовая run-rate), ₽</x:t>
  </x:si>
  <x:si>
    <x:t xml:space="preserve">CAC при сценарии, ₽</x:t>
  </x:si>
  <x:si>
    <x:t xml:space="preserve">Чувствительность: ARR мес 24 (млрд ₽) — рост триалов × конверсия</x:t>
  </x:si>
  <x:si>
    <x:t xml:space="preserve">Рост \ Конверсия</x:t>
  </x:si>
  <x:si>
    <x:t xml:space="preserve">Примечание: формулы сценариев не учитывают потолок 500 триалов/мес — оптимистичный случай ограничен им (см. лист «Выручка», строка «Новые триалы»).</x:t>
  </x:si>
  <x:si>
    <x:t xml:space="preserve">Данные</x:t>
  </x:si>
  <x:si>
    <x:t xml:space="preserve">URL</x:t>
  </x:si>
  <x:si>
    <x:t xml:space="preserve">Медиана ЗП IT 182 700 ₽/мес (1П2025); Backend 251 тыс (2026)</x:t>
  </x:si>
  <x:si>
    <x:t xml:space="preserve">https://career.habr.com</x:t>
  </x:si>
  <x:si>
    <x:t xml:space="preserve">ЗП по грейдам: джун 77 / мидл 167 / синьор 280 тыс ₽</x:t>
  </x:si>
  <x:si>
    <x:t xml:space="preserve">Skillbox (авг 2025)</x:t>
  </x:si>
  <x:si>
    <x:t xml:space="preserve">https://blog.skillbox.ru</x:t>
  </x:si>
  <x:si>
    <x:t xml:space="preserve">Средняя ЗП IT 196,5 тыс ₽ (3 кв 2025)</x:t>
  </x:si>
  <x:si>
    <x:t xml:space="preserve">TAdviser</x:t>
  </x:si>
  <x:si>
    <x:t xml:space="preserve">https://www.tadviser.ru</x:t>
  </x:si>
  <x:si>
    <x:t xml:space="preserve">Комиссия агентств 10–25% годового дохода</x:t>
  </x:si>
  <x:si>
    <x:t xml:space="preserve">IT-Atlas (май 2025)</x:t>
  </x:si>
  <x:si>
    <x:t xml:space="preserve">https://it-atlas.ru</x:t>
  </x:si>
  <x:si>
    <x:t xml:space="preserve">IT-агентства 19–23%</x:t>
  </x:si>
  <x:si>
    <x:t xml:space="preserve">Lucky Hunter</x:t>
  </x:si>
  <x:si>
    <x:t xml:space="preserve">https://luckyhunter.io</x:t>
  </x:si>
  <x:si>
    <x:t xml:space="preserve">Полный cost-per-hire &gt; 43 000 ₽ на закрытую вакансию</x:t>
  </x:si>
  <x:si>
    <x:t xml:space="preserve">https://vc.ru</x:t>
  </x:si>
  <x:si>
    <x:t xml:space="preserve">Доступ к базе hh.ru: 22 080 ₽/7 дней (Москва), 27 670 ₽ (РФ)</x:t>
  </x:si>
  <x:si>
    <x:t xml:space="preserve">heaad.ru</x:t>
  </x:si>
  <x:si>
    <x:t xml:space="preserve">https://heaad.ru</x:t>
  </x:si>
  <x:si>
    <x:t xml:space="preserve">Пакет hh: 6 200 ₽ за 10 вакансий; промо «Вакансия за 199 ₽»</x:t>
  </x:si>
  <x:si>
    <x:t xml:space="preserve">https://www.jcat.ru</x:t>
  </x:si>
  <x:si>
    <x:t xml:space="preserve">Хабр Карьера: Стандарт 4 026 ₽, «Стандарт плюс» 7 808 ₽, продвижение 1 220 ₽; модель 0 ₽ + 300 ₽/отклик (2025)</x:t>
  </x:si>
  <x:si>
    <x:t xml:space="preserve">career.habr.com/price; habr.com</x:t>
  </x:si>
  <x:si>
    <x:t xml:space="preserve">https://career.habr.com/price</x:t>
  </x:si>
  <x:si>
    <x:t xml:space="preserve">Выручка hh.ru 41,2 млрд ₽ (2025), прибыль 18,18 млрд ₽; рынок РФ &gt; 500 млрд ₽ (TAM)</x:t>
  </x:si>
  <x:si>
    <x:t xml:space="preserve">TAdviser, Ведомости, investor.hh.ru</x:t>
  </x:si>
  <x:si>
    <x:t xml:space="preserve">https://investor.hh.ru</x:t>
  </x:si>
  <x:si>
    <x:t xml:space="preserve">IT-вакансии 1П2025: 352,5 → 291 тыс (−17%)</x:t>
  </x:si>
  <x:si>
    <x:t xml:space="preserve">https://proglib.io</x:t>
  </x:si>
  <x:si>
    <x:t xml:space="preserve">До 2 000 откликов на IT-вакансию; рост сроков закрытия</x:t>
  </x:si>
  <x:si>
    <x:t xml:space="preserve">Т-Банк (secrets.tbank.ru), Инфосистема Джет</x:t>
  </x:si>
  <x:si>
    <x:t xml:space="preserve">https://secrets.tbank.ru</x:t>
  </x:si>
  <x:si>
    <x:t xml:space="preserve">Активных резюме hh 3,24 млн (июнь 2025), hh-индекс IT 22–26</x:t>
  </x:si>
  <x:si>
    <x:t xml:space="preserve">https://stats.hh.ru</x:t>
  </x:si>
  <x:si>
    <x:t xml:space="preserve">DeepSeek API: $0.2–0.28/1M вх, $0.42–0.7/1M вых</x:t>
  </x:si>
  <x:si>
    <x:t xml:space="preserve">api-docs.deepseek.com</x:t>
  </x:si>
  <x:si>
    <x:t xml:space="preserve">https://api-docs.deepseek.com/quick_start/pricing</x:t>
  </x:si>
  <x:si>
    <x:t xml:space="preserve">Затраты работодателя 25–30% годовой ЗП на найм; CPH от $10 000; HR 110+ ч; найм 1,5–2 мес; агентства 15–25%</x:t>
  </x:si>
  <x:si>
    <x:t xml:space="preserve">Проверка модели (кросс-чеки)</x:t>
  </x:si>
  <x:si>
    <x:t xml:space="preserve">Проверка</x:t>
  </x:si>
  <x:si>
    <x:t xml:space="preserve">Ожидание</x:t>
  </x:si>
  <x:si>
    <x:t xml:space="preserve">Факт</x:t>
  </x:si>
  <x:si>
    <x:t xml:space="preserve">Статус</x:t>
  </x:si>
  <x:si>
    <x:t xml:space="preserve">Итого выручка мес 24 = сумма компонент</x:t>
  </x:si>
  <x:si>
    <x:t xml:space="preserve">Платящие мес 24: база + новые − отток</x:t>
  </x:si>
  <x:si>
    <x:t xml:space="preserve">Итого затрат мес 24 = сумма статей</x:t>
  </x:si>
  <x:si>
    <x:t xml:space="preserve">EBITDA мес 24 = выручка − затраты</x:t>
  </x:si>
  <x:si>
    <x:t xml:space="preserve">ARPU × платящие мес 24 ≈ выручка мес 24 (±15%)</x:t>
  </x:si>
  <x:si>
    <x:t xml:space="preserve">Экономия против агентства = разница каналов</x:t>
  </x:si>
</x:sst>
</file>

<file path=xl/styles.xml><?xml version="1.0" encoding="utf-8"?>
<x:styleSheet xmlns:x="http://schemas.openxmlformats.org/spreadsheetml/2006/main">
  <x:numFmts count="9">
    <x:numFmt numFmtId="164" formatCode="#,##0&quot; ₽&quot;;\(#,##0&quot; ₽&quot;\);&quot;–&quot;"/>
    <x:numFmt numFmtId="165" formatCode="0.0%;\(0.0%\);&quot;–&quot;"/>
    <x:numFmt numFmtId="166" formatCode="#,##0.0;\(#,##0.0\);&quot;–&quot;"/>
    <x:numFmt numFmtId="167" formatCode="#,##0;\(#,##0\);&quot;–&quot;"/>
    <x:numFmt numFmtId="168" formatCode="\$0.000"/>
    <x:numFmt numFmtId="169" formatCode="#,##0.00&quot; ₽&quot;;\(#,##0.00&quot; ₽&quot;\);&quot;–&quot;"/>
    <x:numFmt numFmtId="170" formatCode="0.0&quot;x&quot;"/>
    <x:numFmt numFmtId="171" formatCode="&quot;Мес &quot;0"/>
    <x:numFmt numFmtId="172" formatCode="0.00&quot; млрд ₽&quot;"/>
  </x:numFmts>
  <x:fonts count="12">
    <x:font>
      <x:sz val="11"/>
      <x:color theme="1"/>
      <x:name val="Calibri"/>
      <x:family val="2"/>
      <x:scheme val="minor"/>
    </x:font>
    <x:font>
      <x:sz val="16"/>
      <x:color rgb="FF1B2A4A"/>
      <x:name val="Noto Sans SC"/>
    </x:font>
    <x:font>
      <x:sz val="11"/>
      <x:color rgb="FFFFFFFF"/>
      <x:name val="Noto Sans SC"/>
    </x:font>
    <x:font>
      <x:sz val="12"/>
      <x:color rgb="FF1B2A4A"/>
      <x:name val="Noto Sans SC"/>
    </x:font>
    <x:font>
      <x:sz val="11"/>
      <x:color rgb="FF37352F"/>
      <x:name val="Noto Sans SC"/>
    </x:font>
    <x:font>
      <x:sz val="11"/>
      <x:color rgb="FF0000FF"/>
      <x:name val="Noto Sans SC"/>
    </x:font>
    <x:font>
      <x:sz val="9"/>
      <x:color rgb="FF8C8A84"/>
      <x:name val="Noto Sans SC"/>
    </x:font>
    <x:font>
      <x:sz val="11"/>
      <x:color rgb="FF000000"/>
      <x:name val="Noto Sans SC"/>
    </x:font>
    <x:font>
      <x:sz val="11"/>
      <x:color rgb="FF1B2A4A"/>
      <x:name val="Noto Sans SC"/>
    </x:font>
    <x:font>
      <x:sz val="11"/>
      <x:color rgb="FF008000"/>
      <x:name val="Noto Sans SC"/>
    </x:font>
    <x:font>
      <x:b/>
      <x:sz val="11"/>
      <x:color rgb="FF000000"/>
      <x:name val="Noto Sans SC"/>
    </x:font>
    <x:font>
      <x:sz val="14"/>
      <x:color rgb="FF1B2A4A"/>
      <x:name val="Noto Sans SC"/>
    </x:font>
  </x:fonts>
  <x:fills count="7">
    <x:fill>
      <x:patternFill patternType="none"/>
    </x:fill>
    <x:fill>
      <x:patternFill patternType="gray125"/>
    </x:fill>
    <x:fill>
      <x:patternFill patternType="solid">
        <x:fgColor rgb="FF1B2A4A"/>
      </x:patternFill>
    </x:fill>
    <x:fill>
      <x:patternFill patternType="solid">
        <x:fgColor rgb="FFD6E4F0"/>
      </x:patternFill>
    </x:fill>
    <x:fill>
      <x:patternFill patternType="solid">
        <x:fgColor rgb="FFFFFFFF"/>
      </x:patternFill>
    </x:fill>
    <x:fill>
      <x:patternFill patternType="solid">
        <x:fgColor rgb="FFF7F7F5"/>
      </x:patternFill>
    </x:fill>
    <x:fill>
      <x:patternFill patternType="solid">
        <x:fgColor rgb="FFFFF2CC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E9E9E8"/>
      </x:bottom>
      <x:diagonal/>
    </x:border>
  </x:borders>
  <x:cellStyleXfs count="1">
    <x:xf numFmtId="0" fontId="0" fillId="0" borderId="0"/>
  </x:cellStyleXfs>
  <x:cellXfs count="70">
    <x:xf numFmtId="0" fontId="0" fillId="0" borderId="0" xfId="0"/>
    <x:xf numFmtId="164" fontId="11" fillId="0" borderId="0" xfId="0" applyNumberFormat="1" applyFont="1" applyAlignment="1">
      <x:alignment horizontal="left" vertical="center"/>
    </x:xf>
    <x:xf numFmtId="165" fontId="11" fillId="0" borderId="0" xfId="0" applyNumberFormat="1" applyFont="1" applyAlignment="1">
      <x:alignment horizontal="left" vertical="center"/>
    </x:xf>
    <x:xf numFmtId="167" fontId="11" fillId="0" borderId="0" xfId="0" applyNumberFormat="1" applyFont="1" applyAlignment="1">
      <x:alignment horizontal="left" vertical="center"/>
    </x:xf>
    <x:xf numFmtId="0" fontId="6" fillId="0" borderId="0" xfId="0" applyFont="1" applyAlignment="1">
      <x:alignment horizontal="left" vertical="top" wrapText="1"/>
    </x:xf>
    <x:xf numFmtId="170" fontId="11" fillId="0" borderId="0" xfId="0" applyNumberFormat="1" applyFont="1" applyAlignment="1">
      <x:alignment horizontal="left" vertical="center"/>
    </x:xf>
    <x:xf numFmtId="0" fontId="4" fillId="4" borderId="0" xfId="0" applyFont="1" applyFill="1" applyAlignment="1">
      <x:alignment horizontal="left" vertical="center" wrapText="1"/>
    </x:xf>
    <x:xf numFmtId="0" fontId="0" fillId="4" borderId="0" xfId="0" applyFill="1"/>
    <x:xf numFmtId="0" fontId="4" fillId="5" borderId="0" xfId="0" applyFont="1" applyFill="1" applyAlignment="1">
      <x:alignment horizontal="left" vertical="center" wrapText="1"/>
    </x:xf>
    <x:xf numFmtId="0" fontId="0" fillId="5" borderId="0" xfId="0" applyFill="1"/>
    <x:xf numFmtId="0" fontId="6" fillId="0" borderId="0" xfId="0" applyFont="1"/>
    <x:xf numFmtId="167" fontId="6" fillId="0" borderId="0" xfId="0" applyNumberFormat="1" applyFont="1" applyAlignment="1">
      <x:alignment horizontal="right" vertical="center"/>
    </x:xf>
    <x:xf numFmtId="0" fontId="2" fillId="2" borderId="1" xfId="0" applyFont="1" applyFill="1" applyBorder="1" applyAlignment="1">
      <x:alignment horizontal="center" vertical="center" wrapText="1"/>
    </x:xf>
    <x:xf numFmtId="164" fontId="5" fillId="4" borderId="0" xfId="0" applyNumberFormat="1" applyFont="1" applyFill="1" applyAlignment="1">
      <x:alignment horizontal="right" vertical="center"/>
    </x:xf>
    <x:xf numFmtId="0" fontId="6" fillId="4" borderId="0" xfId="0" applyFont="1" applyFill="1" applyAlignment="1">
      <x:alignment horizontal="center" vertical="center"/>
    </x:xf>
    <x:xf numFmtId="0" fontId="6" fillId="4" borderId="0" xfId="0" applyFont="1" applyFill="1" applyAlignment="1">
      <x:alignment horizontal="left" vertical="center" wrapText="1"/>
    </x:xf>
    <x:xf numFmtId="164" fontId="5" fillId="5" borderId="0" xfId="0" applyNumberFormat="1" applyFont="1" applyFill="1" applyAlignment="1">
      <x:alignment horizontal="right" vertical="center"/>
    </x:xf>
    <x:xf numFmtId="0" fontId="6" fillId="5" borderId="0" xfId="0" applyFont="1" applyFill="1" applyAlignment="1">
      <x:alignment horizontal="center" vertical="center"/>
    </x:xf>
    <x:xf numFmtId="0" fontId="6" fillId="5" borderId="0" xfId="0" applyFont="1" applyFill="1" applyAlignment="1">
      <x:alignment horizontal="left" vertical="center" wrapText="1"/>
    </x:xf>
    <x:xf numFmtId="165" fontId="5" fillId="4" borderId="0" xfId="0" applyNumberFormat="1" applyFont="1" applyFill="1" applyAlignment="1">
      <x:alignment horizontal="right" vertical="center"/>
    </x:xf>
    <x:xf numFmtId="165" fontId="5" fillId="5" borderId="0" xfId="0" applyNumberFormat="1" applyFont="1" applyFill="1" applyAlignment="1">
      <x:alignment horizontal="right" vertical="center"/>
    </x:xf>
    <x:xf numFmtId="166" fontId="5" fillId="5" borderId="0" xfId="0" applyNumberFormat="1" applyFont="1" applyFill="1" applyAlignment="1">
      <x:alignment horizontal="right" vertical="center"/>
    </x:xf>
    <x:xf numFmtId="167" fontId="5" fillId="4" borderId="0" xfId="0" applyNumberFormat="1" applyFont="1" applyFill="1" applyAlignment="1">
      <x:alignment horizontal="right" vertical="center"/>
    </x:xf>
    <x:xf numFmtId="164" fontId="5" fillId="6" borderId="0" xfId="0" applyNumberFormat="1" applyFont="1" applyFill="1" applyAlignment="1">
      <x:alignment horizontal="right" vertical="center"/>
    </x:xf>
    <x:xf numFmtId="164" fontId="7" fillId="4" borderId="0" xfId="0" applyNumberFormat="1" applyFont="1" applyFill="1" applyAlignment="1">
      <x:alignment horizontal="right" vertical="center"/>
    </x:xf>
    <x:xf numFmtId="165" fontId="5" fillId="6" borderId="0" xfId="0" applyNumberFormat="1" applyFont="1" applyFill="1" applyAlignment="1">
      <x:alignment horizontal="right" vertical="center"/>
    </x:xf>
    <x:xf numFmtId="165" fontId="7" fillId="4" borderId="0" xfId="0" applyNumberFormat="1" applyFont="1" applyFill="1" applyAlignment="1">
      <x:alignment horizontal="right" vertical="center"/>
    </x:xf>
    <x:xf numFmtId="167" fontId="5" fillId="6" borderId="0" xfId="0" applyNumberFormat="1" applyFont="1" applyFill="1" applyAlignment="1">
      <x:alignment horizontal="right" vertical="center"/>
    </x:xf>
    <x:xf numFmtId="167" fontId="5" fillId="5" borderId="0" xfId="0" applyNumberFormat="1" applyFont="1" applyFill="1" applyAlignment="1">
      <x:alignment horizontal="right" vertical="center"/>
    </x:xf>
    <x:xf numFmtId="168" fontId="5" fillId="4" borderId="0" xfId="0" applyNumberFormat="1" applyFont="1" applyFill="1" applyAlignment="1">
      <x:alignment horizontal="right" vertical="center"/>
    </x:xf>
    <x:xf numFmtId="168" fontId="5" fillId="5" borderId="0" xfId="0" applyNumberFormat="1" applyFont="1" applyFill="1" applyAlignment="1">
      <x:alignment horizontal="right" vertical="center"/>
    </x:xf>
    <x:xf numFmtId="169" fontId="7" fillId="5" borderId="0" xfId="0" applyNumberFormat="1" applyFont="1" applyFill="1" applyAlignment="1">
      <x:alignment horizontal="right" vertical="center"/>
    </x:xf>
    <x:xf numFmtId="169" fontId="7" fillId="4" borderId="0" xfId="0" applyNumberFormat="1" applyFont="1" applyFill="1" applyAlignment="1">
      <x:alignment horizontal="right" vertical="center"/>
    </x:xf>
    <x:xf numFmtId="0" fontId="4" fillId="4" borderId="0" xfId="0" applyFont="1" applyFill="1" applyAlignment="1">
      <x:alignment horizontal="center" vertical="center" wrapText="1"/>
    </x:xf>
    <x:xf numFmtId="0" fontId="4" fillId="5" borderId="0" xfId="0" applyFont="1" applyFill="1" applyAlignment="1">
      <x:alignment horizontal="center" vertical="center" wrapText="1"/>
    </x:xf>
    <x:xf numFmtId="164" fontId="7" fillId="5" borderId="0" xfId="0" applyNumberFormat="1" applyFont="1" applyFill="1" applyAlignment="1">
      <x:alignment horizontal="right" vertical="center"/>
    </x:xf>
    <x:xf numFmtId="167" fontId="7" fillId="4" borderId="0" xfId="0" applyNumberFormat="1" applyFont="1" applyFill="1" applyAlignment="1">
      <x:alignment horizontal="right" vertical="center"/>
    </x:xf>
    <x:xf numFmtId="166" fontId="5" fillId="4" borderId="0" xfId="0" applyNumberFormat="1" applyFont="1" applyFill="1" applyAlignment="1">
      <x:alignment horizontal="right" vertical="center"/>
    </x:xf>
    <x:xf numFmtId="167" fontId="7" fillId="5" borderId="0" xfId="0" applyNumberFormat="1" applyFont="1" applyFill="1" applyAlignment="1">
      <x:alignment horizontal="right" vertical="center"/>
    </x:xf>
    <x:xf numFmtId="166" fontId="7" fillId="4" borderId="0" xfId="0" applyNumberFormat="1" applyFont="1" applyFill="1" applyAlignment="1">
      <x:alignment horizontal="right" vertical="center"/>
    </x:xf>
    <x:xf numFmtId="166" fontId="7" fillId="5" borderId="0" xfId="0" applyNumberFormat="1" applyFont="1" applyFill="1" applyAlignment="1">
      <x:alignment horizontal="right" vertical="center"/>
    </x:xf>
    <x:xf numFmtId="0" fontId="8" fillId="4" borderId="0" xfId="0" applyFont="1" applyFill="1"/>
    <x:xf numFmtId="0" fontId="8" fillId="5" borderId="0" xfId="0" applyFont="1" applyFill="1"/>
    <x:xf numFmtId="165" fontId="7" fillId="5" borderId="0" xfId="0" applyNumberFormat="1" applyFont="1" applyFill="1" applyAlignment="1">
      <x:alignment horizontal="right" vertical="center"/>
    </x:xf>
    <x:xf numFmtId="164" fontId="9" fillId="5" borderId="0" xfId="0" applyNumberFormat="1" applyFont="1" applyFill="1" applyAlignment="1">
      <x:alignment horizontal="right" vertical="center"/>
    </x:xf>
    <x:xf numFmtId="170" fontId="9" fillId="4" borderId="0" xfId="0" applyNumberFormat="1" applyFont="1" applyFill="1" applyAlignment="1">
      <x:alignment horizontal="right" vertical="center"/>
    </x:xf>
    <x:xf numFmtId="171" fontId="2" fillId="2" borderId="1" xfId="0" applyNumberFormat="1" applyFont="1" applyFill="1" applyBorder="1" applyAlignment="1">
      <x:alignment horizontal="center" vertical="center" wrapText="1"/>
    </x:xf>
    <x:xf numFmtId="0" fontId="4" fillId="3" borderId="0" xfId="0" applyFont="1" applyFill="1" applyAlignment="1">
      <x:alignment horizontal="left" vertical="center" wrapText="1"/>
    </x:xf>
    <x:xf numFmtId="167" fontId="10" fillId="3" borderId="0" xfId="0" applyNumberFormat="1" applyFont="1" applyFill="1" applyAlignment="1">
      <x:alignment horizontal="right" vertical="center"/>
    </x:xf>
    <x:xf numFmtId="167" fontId="9" fillId="4" borderId="0" xfId="0" applyNumberFormat="1" applyFont="1" applyFill="1" applyAlignment="1">
      <x:alignment horizontal="right" vertical="center"/>
    </x:xf>
    <x:xf numFmtId="167" fontId="9" fillId="5" borderId="0" xfId="0" applyNumberFormat="1" applyFont="1" applyFill="1" applyAlignment="1">
      <x:alignment horizontal="right" vertical="center"/>
    </x:xf>
    <x:xf numFmtId="167" fontId="10" fillId="5" borderId="0" xfId="0" applyNumberFormat="1" applyFont="1" applyFill="1" applyAlignment="1">
      <x:alignment horizontal="right" vertical="center"/>
    </x:xf>
    <x:xf numFmtId="164" fontId="9" fillId="4" borderId="0" xfId="0" applyNumberFormat="1" applyFont="1" applyFill="1" applyAlignment="1">
      <x:alignment horizontal="right" vertical="center"/>
    </x:xf>
    <x:xf numFmtId="170" fontId="7" fillId="5" borderId="0" xfId="0" applyNumberFormat="1" applyFont="1" applyFill="1" applyAlignment="1">
      <x:alignment horizontal="right" vertical="center"/>
    </x:xf>
    <x:xf numFmtId="165" fontId="2" fillId="2" borderId="0" xfId="0" applyNumberFormat="1" applyFont="1" applyFill="1" applyAlignment="1">
      <x:alignment horizontal="right" vertical="center"/>
    </x:xf>
    <x:xf numFmtId="165" fontId="5" fillId="0" borderId="0" xfId="0" applyNumberFormat="1" applyFont="1" applyAlignment="1">
      <x:alignment horizontal="right" vertical="center"/>
    </x:xf>
    <x:xf numFmtId="172" fontId="7" fillId="4" borderId="0" xfId="0" applyNumberFormat="1" applyFont="1" applyFill="1" applyAlignment="1">
      <x:alignment horizontal="right" vertical="center"/>
    </x:xf>
    <x:xf numFmtId="172" fontId="7" fillId="5" borderId="0" xfId="0" applyNumberFormat="1" applyFont="1" applyFill="1" applyAlignment="1">
      <x:alignment horizontal="right" vertical="center"/>
    </x:xf>
    <x:xf numFmtId="172" fontId="7" fillId="6" borderId="0" xfId="0" applyNumberFormat="1" applyFont="1" applyFill="1" applyAlignment="1">
      <x:alignment horizontal="right" vertical="center"/>
    </x:xf>
    <x:xf numFmtId="0" fontId="7" fillId="4" borderId="0" xfId="0" applyFont="1" applyFill="1" applyAlignment="1">
      <x:alignment horizontal="center" vertical="center"/>
    </x:xf>
    <x:xf numFmtId="0" fontId="7" fillId="5" borderId="0" xfId="0" applyFont="1" applyFill="1" applyAlignment="1">
      <x:alignment horizontal="center" vertical="center"/>
    </x:xf>
    <x:xf numFmtId="0" fontId="6" fillId="0" borderId="0" xfId="0" applyFont="1" applyAlignment="1">
      <x:alignment horizontal="left" vertical="center"/>
    </x:xf>
    <x:xf numFmtId="0" fontId="0" fillId="0" borderId="0" xfId="0"/>
    <x:xf numFmtId="0" fontId="1" fillId="0" borderId="0" xfId="0" applyFont="1" applyAlignment="1">
      <x:alignment horizontal="left" vertical="center"/>
    </x:xf>
    <x:xf numFmtId="0" fontId="4" fillId="4" borderId="0" xfId="0" applyFont="1" applyFill="1" applyAlignment="1">
      <x:alignment horizontal="left" vertical="center" wrapText="1"/>
    </x:xf>
    <x:xf numFmtId="0" fontId="0" fillId="4" borderId="0" xfId="0" applyFill="1"/>
    <x:xf numFmtId="0" fontId="4" fillId="5" borderId="0" xfId="0" applyFont="1" applyFill="1" applyAlignment="1">
      <x:alignment horizontal="left" vertical="center" wrapText="1"/>
    </x:xf>
    <x:xf numFmtId="0" fontId="0" fillId="5" borderId="0" xfId="0" applyFill="1"/>
    <x:xf numFmtId="0" fontId="3" fillId="3" borderId="0" xfId="0" applyFont="1" applyFill="1" applyAlignment="1">
      <x:alignment horizontal="left" vertical="center"/>
    </x:xf>
    <x:xf numFmtId="0" fontId="6" fillId="0" borderId="0" xfId="0" applyFont="1"/>
  </x:cellXfs>
  <x:cellStyles count="1">
    <x:cellStyle name="Обычный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ba5bd11cd74dc6" /><Relationship Type="http://schemas.openxmlformats.org/officeDocument/2006/relationships/theme" Target="/xl/theme/theme1.xml" Id="Rb4bcf13a277742c4" /><Relationship Type="http://schemas.openxmlformats.org/officeDocument/2006/relationships/sharedStrings" Target="/xl/sharedStrings.xml" Id="Ree12a2f25e6a438a" /><Relationship Type="http://schemas.openxmlformats.org/officeDocument/2006/relationships/worksheet" Target="/xl/worksheets/sheet1.xml" Id="Rbba86e8279ec476b" /><Relationship Type="http://schemas.openxmlformats.org/officeDocument/2006/relationships/worksheet" Target="/xl/worksheets/sheet2.xml" Id="R9f4112765de244e3" /><Relationship Type="http://schemas.openxmlformats.org/officeDocument/2006/relationships/worksheet" Target="/xl/worksheets/sheet3.xml" Id="Rf2823a1c1d6e43e2" /><Relationship Type="http://schemas.openxmlformats.org/officeDocument/2006/relationships/worksheet" Target="/xl/worksheets/sheet4.xml" Id="R9c45870f93cc4d79" /><Relationship Type="http://schemas.openxmlformats.org/officeDocument/2006/relationships/worksheet" Target="/xl/worksheets/sheet5.xml" Id="R8cfb50ec14c449fa" /><Relationship Type="http://schemas.openxmlformats.org/officeDocument/2006/relationships/worksheet" Target="/xl/worksheets/sheet6.xml" Id="R0100b2ed83724975" /><Relationship Type="http://schemas.openxmlformats.org/officeDocument/2006/relationships/worksheet" Target="/xl/worksheets/sheet7.xml" Id="Rc1ca7d28c3164f88" /><Relationship Type="http://schemas.openxmlformats.org/officeDocument/2006/relationships/worksheet" Target="/xl/worksheets/sheet8.xml" Id="Rd40f40fce83042a1" /><Relationship Type="http://schemas.openxmlformats.org/officeDocument/2006/relationships/worksheet" Target="/xl/worksheets/sheet9.xml" Id="Rf661c18a05f34340" /><Relationship Type="http://schemas.openxmlformats.org/officeDocument/2006/relationships/worksheet" Target="/xl/worksheets/sheet10.xml" Id="Rb0245ddafa0c4740" /><Relationship Type="http://schemas.openxmlformats.org/officeDocument/2006/relationships/worksheet" Target="/xl/worksheets/sheet11.xml" Id="R1f48d63840b14b0d" /><Relationship Type="http://schemas.openxmlformats.org/officeDocument/2006/relationships/worksheet" Target="/xl/worksheets/sheet12.xml" Id="Rc18916df060f4109" /><Relationship Type="http://schemas.openxmlformats.org/officeDocument/2006/relationships/worksheet" Target="/xl/worksheets/sheet13.xml" Id="Rc3bc017356f444ba" /></Relationships>
</file>

<file path=xl/charts/chart1.xml><?xml version="1.0" encoding="utf-8"?>
<ns0:chartSpace xmlns:ns0="http://schemas.openxmlformats.org/drawingml/2006/chart" xmlns:ns1="http://schemas.openxmlformats.org/drawingml/2006/main" xmlns:ns2="http://schemas.microsoft.com/office/drawing/2014/chart">
  <ns0:date1904 val="0"/>
  <ns0:lang val="ru-RU"/>
  <ns0:roundedCorners val="1"/>
  <ns0:style val="10"/>
  <ns0:chart>
    <ns0:title>
      <ns0:tx>
        <ns0:rich>
          <ns1:bodyPr/>
          <ns1:lstStyle/>
          <ns1:p>
            <ns1:pPr>
              <ns1:defRPr sz="1300" b="0">
                <ns1:latin typeface="Noto Sans SC"/>
                <ns1:ea typeface="Noto Sans SC"/>
              </ns1:defRPr>
            </ns1:pPr>
            <ns1:r>
              <ns1:rPr sz="1300" b="0">
                <ns1:latin typeface="Noto Sans SC"/>
                <ns1:ea typeface="Noto Sans SC"/>
              </ns1:rPr>
              <ns1:t>Структура выручки, мес 24</ns1:t>
            </ns1:r>
          </ns1:p>
        </ns0:rich>
      </ns0:tx>
      <ns0:overlay val="1"/>
    </ns0:title>
    <ns0:autoTitleDeleted val="0"/>
    <ns0:plotArea>
      <ns0:layout/>
      <ns0:pieChart>
        <ns0:varyColors val="1"/>
        <ns0:ser>
          <ns0:idx val="0"/>
          <ns0:order val="0"/>
          <ns0:tx>
            <ns0:strRef>
              <ns0:f>Резюме!$L$21</ns0:f>
              <ns0:strCache>
                <ns0:ptCount val="1"/>
                <ns0:pt idx="0">
                  <ns0:v>Выручка, ₽</ns0:v>
                </ns0:pt>
              </ns0:strCache>
            </ns0:strRef>
          </ns0:tx>
          <ns0:spPr>
            <ns1:ln>
              <ns1:prstDash val="solid"/>
            </ns1:ln>
          </ns0:spPr>
          <ns0:cat>
            <ns0:strRef>
              <ns0:f>Резюме!$K$22:$K$25</ns0:f>
              <ns0:strCache>
                <ns0:ptCount val="4"/>
                <ns0:pt idx="0">
                  <ns0:v>Подписки «Старт»</ns0:v>
                </ns0:pt>
                <ns0:pt idx="1">
                  <ns0:v>Подписки «Бизнес»</ns0:v>
                </ns0:pt>
                <ns0:pt idx="2">
                  <ns0:v>Разовые (вакансии+приглашения)</ns0:v>
                </ns0:pt>
                <ns0:pt idx="3">
                  <ns0:v>Штрафы SLA</ns0:v>
                </ns0:pt>
              </ns0:strCache>
            </ns0:strRef>
          </ns0:cat>
          <ns0:val>
            <ns0:numRef>
              <ns0:f>Резюме!$L$22:$L$25</ns0:f>
              <ns0:numCache>
                <ns0:formatCode>#\ ##0;\(#\ ##0\);"–"</ns0:formatCode>
                <ns0:ptCount val="4"/>
                <ns0:pt idx="0">
                  <ns0:v>2528349.1733015906</ns0:v>
                </ns0:pt>
                <ns0:pt idx="1">
                  <ns0:v>2443560.089914103</ns0:v>
                </ns0:pt>
                <ns0:pt idx="2">
                  <ns0:v>1211051.6720204805</ns0:v>
                </ns0:pt>
                <ns0:pt idx="3">
                  <ns0:v>28928.094296889878</ns0:v>
                </ns0:pt>
              </ns0:numCache>
            </ns0:numRef>
          </ns0:val>
          <ns0:extLst>
            <ns0:ext uri="{C3380CC4-5D6E-409C-BE32-E72D297353CC}">
              <ns2:uniqueId val="{00000000-B106-45A0-A08A-E156267277F2}"/>
            </ns0:ext>
          </ns0:extLst>
        </ns0:ser>
        <ns0:dLbls>
          <ns0:showLegendKey val="0"/>
          <ns0:showVal val="0"/>
          <ns0:showCatName val="0"/>
          <ns0:showSerName val="0"/>
          <ns0:showPercent val="0"/>
          <ns0:showBubbleSize val="0"/>
          <ns0:showLeaderLines val="1"/>
        </ns0:dLbls>
        <ns0:firstSliceAng val="0"/>
      </ns0:pieChart>
    </ns0:plotArea>
    <ns0:legend>
      <ns0:legendPos val="r"/>
      <ns0:overlay val="1"/>
    </ns0:legend>
    <ns0:plotVisOnly val="1"/>
    <ns0:dispBlanksAs val="gap"/>
    <ns0:showDLblsOverMax val="1"/>
  </ns0:chart>
  <ns0:printSettings>
    <ns0:headerFooter/>
    <ns0:pageMargins b="0.75" l="0.7" r="0.7" t="0.75" header="0.3" footer="0.3"/>
    <ns0:pageSetup/>
  </ns0:printSettings>
</ns0:chartSpace>
</file>

<file path=xl/charts/chart2.xml><?xml version="1.0" encoding="utf-8"?>
<ns0:chartSpace xmlns:ns0="http://schemas.openxmlformats.org/drawingml/2006/chart" xmlns:ns1="http://schemas.openxmlformats.org/drawingml/2006/main" xmlns:ns2="http://schemas.microsoft.com/office/drawing/2014/chart">
  <ns0:date1904 val="0"/>
  <ns0:lang val="ru-RU"/>
  <ns0:roundedCorners val="1"/>
  <ns0:style val="10"/>
  <ns0:chart>
    <ns0:title>
      <ns0:tx>
        <ns0:rich>
          <ns1:bodyPr/>
          <ns1:lstStyle/>
          <ns1:p>
            <ns1:pPr>
              <ns1:defRPr sz="1300" b="0">
                <ns1:latin typeface="Noto Sans SC"/>
                <ns1:ea typeface="Noto Sans SC"/>
              </ns1:defRPr>
            </ns1:pPr>
            <ns1:r>
              <ns1:rPr sz="1300" b="0">
                <ns1:latin typeface="Noto Sans SC"/>
                <ns1:ea typeface="Noto Sans SC"/>
              </ns1:rPr>
              <ns1:t>Полные затраты на один IT-найм по каналам</ns1:t>
            </ns1:r>
          </ns1:p>
        </ns0:rich>
      </ns0:tx>
      <ns0:overlay val="1"/>
    </ns0:title>
    <ns0:autoTitleDeleted val="0"/>
    <ns0:plotArea>
      <ns0:layout/>
      <ns0:barChart>
        <ns0:barDir val="bar"/>
        <ns0:grouping val="clustered"/>
        <ns0:varyColors val="1"/>
        <ns0:ser>
          <ns0:idx val="0"/>
          <ns0:order val="0"/>
          <ns0:tx>
            <ns0:strRef>
              <ns0:f>'Затраты работодателя'!$K$4</ns0:f>
              <ns0:strCache>
                <ns0:ptCount val="1"/>
                <ns0:pt idx="0">
                  <ns0:v>Всего, ₽</ns0:v>
                </ns0:pt>
              </ns0:strCache>
            </ns0:strRef>
          </ns0:tx>
          <ns0:spPr>
            <ns1:ln>
              <ns1:prstDash val="solid"/>
            </ns1:ln>
          </ns0:spPr>
          <ns0:invertIfNegative val="1"/>
          <ns0:cat>
            <ns0:strRef>
              <ns0:f>'Затраты работодателя'!$J$5:$J$11</ns0:f>
              <ns0:strCache>
                <ns0:ptCount val="7"/>
                <ns0:pt idx="0">
                  <ns0:v>COMIT разовый</ns0:v>
                </ns0:pt>
                <ns0:pt idx="1">
                  <ns0:v>COMIT «Старт»</ns0:v>
                </ns0:pt>
                <ns0:pt idx="2">
                  <ns0:v>hh.ru самост.</ns0:v>
                </ns0:pt>
                <ns0:pt idx="3">
                  <ns0:v>Хабр Карьера</ns0:v>
                </ns0:pt>
                <ns0:pt idx="4">
                  <ns0:v>Агентство</ns0:v>
                </ns0:pt>
                <ns0:pt idx="5">
                  <ns0:v>Полная ст-ть найма</ns0:v>
                </ns0:pt>
                <ns0:pt idx="6">
                  <ns0:v>In-house рекрутер</ns0:v>
                </ns0:pt>
              </ns0:strCache>
            </ns0:strRef>
          </ns0:cat>
          <ns0:val>
            <ns0:numRef>
              <ns0:f>'Затраты работодателя'!$K$5:$K$11</ns0:f>
              <ns0:numCache>
                <ns0:formatCode>#\ ##0;\(#\ ##0\);"–"</ns0:formatCode>
                <ns0:ptCount val="7"/>
                <ns0:pt idx="0">
                  <ns0:v>6926</ns0:v>
                </ns0:pt>
                <ns0:pt idx="1">
                  <ns0:v>7950</ns0:v>
                </ns0:pt>
                <ns0:pt idx="2">
                  <ns0:v>103680</ns0:v>
                </ns0:pt>
                <ns0:pt idx="3">
                  <ns0:v>75246</ns0:v>
                </ns0:pt>
                <ns0:pt idx="4">
                  <ns0:v>448480</ns0:v>
                </ns0:pt>
                <ns0:pt idx="5">
                  <ns0:v>548100</ns0:v>
                </ns0:pt>
                <ns0:pt idx="6">
                  <ns0:v>295750</ns0:v>
                </ns0:pt>
              </ns0:numCache>
            </ns0:numRef>
          </ns0:val>
          <ns0:extLst>
            <ns0:ext uri="{C3380CC4-5D6E-409C-BE32-E72D297353CC}">
              <ns2:uniqueId val="{00000000-0297-48F0-A0CD-D71051545E2D}"/>
            </ns0:ext>
          </ns0:extLst>
        </ns0:ser>
        <ns0:dLbls>
          <ns0:showLegendKey val="0"/>
          <ns0:showVal val="0"/>
          <ns0:showCatName val="0"/>
          <ns0:showSerName val="0"/>
          <ns0:showPercent val="0"/>
          <ns0:showBubbleSize val="0"/>
        </ns0:dLbls>
        <ns0:gapWidth val="80"/>
        <ns0:overlap val="100"/>
        <ns0:axId val="10"/>
        <ns0:axId val="100"/>
      </ns0:barChart>
      <ns0:catAx>
        <ns0:axId val="10"/>
        <ns0:scaling>
          <ns0:orientation val="minMax"/>
        </ns0:scaling>
        <ns0:delete val="1"/>
        <ns0:axPos val="l"/>
        <ns0:numFmt formatCode="General" sourceLinked="1"/>
        <ns0:majorTickMark val="none"/>
        <ns0:minorTickMark val="none"/>
        <ns0:tickLblPos val="nextTo"/>
        <ns0:crossAx val="100"/>
        <ns0:crosses val="autoZero"/>
        <ns0:auto val="1"/>
        <ns0:lblAlgn val="ctr"/>
        <ns0:lblOffset val="100"/>
        <ns0:noMultiLvlLbl val="1"/>
      </ns0:catAx>
      <ns0:valAx>
        <ns0:axId val="100"/>
        <ns0:scaling>
          <ns0:orientation val="minMax"/>
        </ns0:scaling>
        <ns0:delete val="1"/>
        <ns0:axPos val="b"/>
        <ns0:majorGridlines/>
        <ns0:numFmt formatCode="#\ ##0;\(#\ ##0\);&quot;–&quot;" sourceLinked="1"/>
        <ns0:majorTickMark val="none"/>
        <ns0:minorTickMark val="none"/>
        <ns0:tickLblPos val="nextTo"/>
        <ns0:crossAx val="10"/>
        <ns0:crosses val="autoZero"/>
        <ns0:crossBetween val="between"/>
      </ns0:valAx>
    </ns0:plotArea>
    <ns0:legend>
      <ns0:legendPos val="r"/>
      <ns0:overlay val="0"/>
    </ns0:legend>
    <ns0:plotVisOnly val="1"/>
    <ns0:dispBlanksAs val="gap"/>
    <ns0:showDLblsOverMax val="1"/>
  </ns0:chart>
  <ns0:printSettings>
    <ns0:headerFooter/>
    <ns0:pageMargins b="0.75" l="0.7" r="0.7" t="0.75" header="0.3" footer="0.3"/>
    <ns0:pageSetup/>
  </ns0:printSettings>
</ns0:chartSpace>
</file>

<file path=xl/charts/chart3.xml><?xml version="1.0" encoding="utf-8"?>
<ns0:chartSpace xmlns:ns0="http://schemas.openxmlformats.org/drawingml/2006/chart" xmlns:ns1="http://schemas.openxmlformats.org/drawingml/2006/main" xmlns:ns2="http://schemas.microsoft.com/office/drawing/2014/chart">
  <ns0:date1904 val="0"/>
  <ns0:lang val="ru-RU"/>
  <ns0:roundedCorners val="1"/>
  <ns0:style val="10"/>
  <ns0:chart>
    <ns0:title>
      <ns0:tx>
        <ns0:rich>
          <ns1:bodyPr/>
          <ns1:lstStyle/>
          <ns1:p>
            <ns1:pPr>
              <ns1:defRPr sz="1300" b="0">
                <ns1:latin typeface="Noto Sans SC"/>
                <ns1:ea typeface="Noto Sans SC"/>
              </ns1:defRPr>
            </ns1:pPr>
            <ns1:r>
              <ns1:rPr sz="1300" b="0">
                <ns1:latin typeface="Noto Sans SC"/>
                <ns1:ea typeface="Noto Sans SC"/>
              </ns1:rPr>
              <ns1:t>Выручка и EBITDA по месяцам</ns1:t>
            </ns1:r>
          </ns1:p>
        </ns0:rich>
      </ns0:tx>
      <ns0:overlay val="1"/>
    </ns0:title>
    <ns0:autoTitleDeleted val="0"/>
    <ns0:plotArea>
      <ns0:layout/>
      <ns0:lineChart>
        <ns0:grouping val="standard"/>
        <ns0:varyColors val="1"/>
        <ns0:ser>
          <ns0:idx val="0"/>
          <ns0:order val="0"/>
          <ns0:tx>
            <ns0:strRef>
              <ns0:f>Выручка!$C$23</ns0:f>
              <ns0:strCache>
                <ns0:ptCount val="1"/>
                <ns0:pt idx="0">
                  <ns0:v>Выручка, ₽</ns0:v>
                </ns0:pt>
              </ns0:strCache>
            </ns0:strRef>
          </ns0:tx>
          <ns0:spPr>
            <ns1:ln>
              <ns1:prstDash val="solid"/>
            </ns1:ln>
          </ns0:spPr>
          <ns0:marker>
            <ns0:symbol val="none"/>
          </ns0:marker>
          <ns0:cat>
            <ns0:numRef>
              <ns0:f>Выручка!$B$24:$B$47</ns0:f>
              <ns0:numCache>
                <ns0:formatCode>General</ns0:formatCode>
                <ns0:ptCount val="24"/>
                <ns0:pt idx="0">
                  <ns0:v>1</ns0:v>
                </ns0:pt>
                <ns0:pt idx="1">
                  <ns0:v>2</ns0:v>
                </ns0:pt>
                <ns0:pt idx="2">
                  <ns0:v>3</ns0:v>
                </ns0:pt>
                <ns0:pt idx="3">
                  <ns0:v>4</ns0:v>
                </ns0:pt>
                <ns0:pt idx="4">
                  <ns0:v>5</ns0:v>
                </ns0:pt>
                <ns0:pt idx="5">
                  <ns0:v>6</ns0:v>
                </ns0:pt>
                <ns0:pt idx="6">
                  <ns0:v>7</ns0:v>
                </ns0:pt>
                <ns0:pt idx="7">
                  <ns0:v>8</ns0:v>
                </ns0:pt>
                <ns0:pt idx="8">
                  <ns0:v>9</ns0:v>
                </ns0:pt>
                <ns0:pt idx="9">
                  <ns0:v>10</ns0:v>
                </ns0:pt>
                <ns0:pt idx="10">
                  <ns0:v>11</ns0:v>
                </ns0:pt>
                <ns0:pt idx="11">
                  <ns0:v>12</ns0:v>
                </ns0:pt>
                <ns0:pt idx="12">
                  <ns0:v>13</ns0:v>
                </ns0:pt>
                <ns0:pt idx="13">
                  <ns0:v>14</ns0:v>
                </ns0:pt>
                <ns0:pt idx="14">
                  <ns0:v>15</ns0:v>
                </ns0:pt>
                <ns0:pt idx="15">
                  <ns0:v>16</ns0:v>
                </ns0:pt>
                <ns0:pt idx="16">
                  <ns0:v>17</ns0:v>
                </ns0:pt>
                <ns0:pt idx="17">
                  <ns0:v>18</ns0:v>
                </ns0:pt>
                <ns0:pt idx="18">
                  <ns0:v>19</ns0:v>
                </ns0:pt>
                <ns0:pt idx="19">
                  <ns0:v>20</ns0:v>
                </ns0:pt>
                <ns0:pt idx="20">
                  <ns0:v>21</ns0:v>
                </ns0:pt>
                <ns0:pt idx="21">
                  <ns0:v>22</ns0:v>
                </ns0:pt>
                <ns0:pt idx="22">
                  <ns0:v>23</ns0:v>
                </ns0:pt>
                <ns0:pt idx="23">
                  <ns0:v>24</ns0:v>
                </ns0:pt>
              </ns0:numCache>
            </ns0:numRef>
          </ns0:cat>
          <ns0:val>
            <ns0:numRef>
              <ns0:f>Выручка!$C$24:$C$47</ns0:f>
              <ns0:numCache>
                <ns0:formatCode>#\ ##0;\(#\ ##0\);"–"</ns0:formatCode>
                <ns0:ptCount val="24"/>
                <ns0:pt idx="0">
                  <ns0:v>76010.19625000001</ns0:v>
                </ns0:pt>
                <ns0:pt idx="1">
                  <ns0:v>155060.80035</ns0:v>
                </ns0:pt>
                <ns0:pt idx="2">
                  <ns0:v>238025.92955687505</ns0:v>
                </ns0:pt>
                <ns0:pt idx="3">
                  <ns0:v>325889.9159120625</ns0:v>
                </ns0:pt>
                <ns0:pt idx="4">
                  <ns0:v>419764.8835994454</ns0:v>
                </ns0:pt>
                <ns0:pt idx="5">
                  <ns0:v>520910.91064990684</ns0:v>
                </ns0:pt>
                <ns0:pt idx="6">
                  <ns0:v>630759.1652574104</ns0:v>
                </ns0:pt>
                <ns0:pt idx="7">
                  <ns0:v>750938.4653805385</ns0:v>
                </ns0:pt>
                <ns0:pt idx="8">
                  <ns0:v>883305.77748041</ns0:v>
                </ns0:pt>
                <ns0:pt idx="9">
                  <ns0:v>1029981.2475056228</ns0:v>
                </ns0:pt>
                <ns0:pt idx="10">
                  <ns0:v>1193388.44608946</ns0:v>
                </ns0:pt>
                <ns0:pt idx="11">
                  <ns0:v>1376300.6121129731</ns0:v>
                </ns0:pt>
                <ns0:pt idx="12">
                  <ns0:v>1581893.7963095084</ns0:v>
                </ns0:pt>
                <ns0:pt idx="13">
                  <ns0:v>1813807.941741544</ns0:v>
                </ns0:pt>
                <ns0:pt idx="14">
                  <ns0:v>2076217.093414105</ns0:v>
                </ns0:pt>
                <ns0:pt idx="15">
                  <ns0:v>2373910.1080419836</ns0:v>
                </ns0:pt>
                <ns0:pt idx="16">
                  <ns0:v>2712383.4405582557</ns0:v>
                </ns0:pt>
                <ns0:pt idx="17">
                  <ns0:v>3097947.820361469</ns0:v>
                </ns0:pt>
                <ns0:pt idx="18">
                  <ns0:v>3537850.902174191</ns0:v>
                </ns0:pt>
                <ns0:pt idx="19">
                  <ns0:v>4040418.2890458973</ns0:v>
                </ns0:pt>
                <ns0:pt idx="20">
                  <ns0:v>4615215.684596079</ns0:v>
                </ns0:pt>
                <ns0:pt idx="21">
                  <ns0:v>5174960.941366275</ns0:v>
                </ns0:pt>
                <ns0:pt idx="22">
                  <ns0:v>5706718.935297961</ns0:v>
                </ns0:pt>
                <ns0:pt idx="23">
                  <ns0:v>6211889.029533065</ns0:v>
                </ns0:pt>
              </ns0:numCache>
            </ns0:numRef>
          </ns0:val>
          <ns0:smooth val="1"/>
          <ns0:extLst>
            <ns0:ext uri="{C3380CC4-5D6E-409C-BE32-E72D297353CC}">
              <ns2:uniqueId val="{00000000-AE78-4F5D-BDD1-E6FDBC849659}"/>
            </ns0:ext>
          </ns0:extLst>
        </ns0:ser>
        <ns0:ser>
          <ns0:idx val="1"/>
          <ns0:order val="1"/>
          <ns0:tx>
            <ns0:strRef>
              <ns0:f>Выручка!$D$23</ns0:f>
              <ns0:strCache>
                <ns0:ptCount val="1"/>
                <ns0:pt idx="0">
                  <ns0:v>EBITDA, ₽</ns0:v>
                </ns0:pt>
              </ns0:strCache>
            </ns0:strRef>
          </ns0:tx>
          <ns0:spPr>
            <ns1:ln>
              <ns1:prstDash val="solid"/>
            </ns1:ln>
          </ns0:spPr>
          <ns0:marker>
            <ns0:symbol val="none"/>
          </ns0:marker>
          <ns0:cat>
            <ns0:numRef>
              <ns0:f>Выручка!$B$24:$B$47</ns0:f>
              <ns0:numCache>
                <ns0:formatCode>General</ns0:formatCode>
                <ns0:ptCount val="24"/>
                <ns0:pt idx="0">
                  <ns0:v>1</ns0:v>
                </ns0:pt>
                <ns0:pt idx="1">
                  <ns0:v>2</ns0:v>
                </ns0:pt>
                <ns0:pt idx="2">
                  <ns0:v>3</ns0:v>
                </ns0:pt>
                <ns0:pt idx="3">
                  <ns0:v>4</ns0:v>
                </ns0:pt>
                <ns0:pt idx="4">
                  <ns0:v>5</ns0:v>
                </ns0:pt>
                <ns0:pt idx="5">
                  <ns0:v>6</ns0:v>
                </ns0:pt>
                <ns0:pt idx="6">
                  <ns0:v>7</ns0:v>
                </ns0:pt>
                <ns0:pt idx="7">
                  <ns0:v>8</ns0:v>
                </ns0:pt>
                <ns0:pt idx="8">
                  <ns0:v>9</ns0:v>
                </ns0:pt>
                <ns0:pt idx="9">
                  <ns0:v>10</ns0:v>
                </ns0:pt>
                <ns0:pt idx="10">
                  <ns0:v>11</ns0:v>
                </ns0:pt>
                <ns0:pt idx="11">
                  <ns0:v>12</ns0:v>
                </ns0:pt>
                <ns0:pt idx="12">
                  <ns0:v>13</ns0:v>
                </ns0:pt>
                <ns0:pt idx="13">
                  <ns0:v>14</ns0:v>
                </ns0:pt>
                <ns0:pt idx="14">
                  <ns0:v>15</ns0:v>
                </ns0:pt>
                <ns0:pt idx="15">
                  <ns0:v>16</ns0:v>
                </ns0:pt>
                <ns0:pt idx="16">
                  <ns0:v>17</ns0:v>
                </ns0:pt>
                <ns0:pt idx="17">
                  <ns0:v>18</ns0:v>
                </ns0:pt>
                <ns0:pt idx="18">
                  <ns0:v>19</ns0:v>
                </ns0:pt>
                <ns0:pt idx="19">
                  <ns0:v>20</ns0:v>
                </ns0:pt>
                <ns0:pt idx="20">
                  <ns0:v>21</ns0:v>
                </ns0:pt>
                <ns0:pt idx="21">
                  <ns0:v>22</ns0:v>
                </ns0:pt>
                <ns0:pt idx="22">
                  <ns0:v>23</ns0:v>
                </ns0:pt>
                <ns0:pt idx="23">
                  <ns0:v>24</ns0:v>
                </ns0:pt>
              </ns0:numCache>
            </ns0:numRef>
          </ns0:cat>
          <ns0:val>
            <ns0:numRef>
              <ns0:f>Выручка!$D$24:$D$47</ns0:f>
              <ns0:numCache>
                <ns0:formatCode>#\ ##0;\(#\ ##0\);"–"</ns0:formatCode>
                <ns0:ptCount val="24"/>
                <ns0:pt idx="0">
                  <ns0:v>-703977.239995</ns0:v>
                </ns0:pt>
                <ns0:pt idx="1">
                  <ns0:v>-637511.5695898</ns0:v>
                </ns0:pt>
                <ns0:pt idx="2">
                  <ns0:v>-568686.0270443425</ns0:v>
                </ns0:pt>
                <ns0:pt idx="3">
                  <ns0:v>-496766.13261656277</ns0:v>
                </ns0:pt>
                <ns0:pt idx="4">
                  <ns0:v>-420926.2595491375</ns0:v>
                </ns0:pt>
                <ns0:pt idx="5">
                  <ns0:v>-340235.0107698941</ns0:v>
                </ns0:pt>
                <ns0:pt idx="6">
                  <ns0:v>-803638.4496596449</ns0:v>
                </ns0:pt>
                <ns0:pt idx="7">
                  <ns0:v>-709940.8606194451</ns0:v>
                </ns0:pt>
                <ns0:pt idx="8">
                  <ns0:v>-607782.6666479725</ns0:v>
                </ns0:pt>
                <ns0:pt idx="9">
                  <ns0:v>-495615.0753342983</ns0:v>
                </ns0:pt>
                <ns0:pt idx="10">
                  <ns0:v>-371670.9604894165</ns0:v>
                </ns0:pt>
                <ns0:pt idx="11">
                  <ns0:v>-233931.41282535368</ns0:v>
                </ns0:pt>
                <ns0:pt idx="12">
                  <ns0:v>-80087.30819885572</ns0:v>
                </ns0:pt>
                <ns0:pt idx="13">
                  <ns0:v>92504.855693802</ns0:v>
                </ns0:pt>
                <ns0:pt idx="14">
                  <ns0:v>286873.7155639343</ns0:v>
                </ns0:pt>
                <ns0:pt idx="15">
                  <ns0:v>506491.38223848306</ns0:v>
                </ns0:pt>
                <ns0:pt idx="16">
                  <ns0:v>755340.5028469167</ns0:v>
                </ns0:pt>
                <ns0:pt idx="17">
                  <ns0:v>1037991.3552826806</ns0:v>
                </ns0:pt>
                <ns0:pt idx="18">
                  <ns0:v>1359690.481133074</ns0:v>
                </ns0:pt>
                <ns0:pt idx="19">
                  <ns0:v>1726462.5891328277</ns0:v>
                </ns0:pt>
                <ns0:pt idx="20">
                  <ns0:v>2145227.7209407534</ns0:v>
                </ns0:pt>
                <ns0:pt idx="21">
                  <ns0:v>2662952.44928558</ns0:v>
                </ns0:pt>
                <ns0:pt idx="22">
                  <ns0:v>3172411.5308733014</ns0:v>
                </ns0:pt>
                <ns0:pt idx="23">
                  <ns0:v>3656397.658381638</ns0:v>
                </ns0:pt>
              </ns0:numCache>
            </ns0:numRef>
          </ns0:val>
          <ns0:smooth val="1"/>
          <ns0:extLst>
            <ns0:ext uri="{C3380CC4-5D6E-409C-BE32-E72D297353CC}">
              <ns2:uniqueId val="{00000001-AE78-4F5D-BDD1-E6FDBC849659}"/>
            </ns0:ext>
          </ns0:extLst>
        </ns0:ser>
        <ns0:dLbls>
          <ns0:showLegendKey val="0"/>
          <ns0:showVal val="0"/>
          <ns0:showCatName val="0"/>
          <ns0:showSerName val="0"/>
          <ns0:showPercent val="0"/>
          <ns0:showBubbleSize val="0"/>
        </ns0:dLbls>
        <ns0:smooth val="0"/>
        <ns0:axId val="10"/>
        <ns0:axId val="100"/>
      </ns0:lineChart>
      <ns0:catAx>
        <ns0:axId val="10"/>
        <ns0:scaling>
          <ns0:orientation val="minMax"/>
        </ns0:scaling>
        <ns0:delete val="1"/>
        <ns0:axPos val="b"/>
        <ns0:numFmt formatCode="General" sourceLinked="1"/>
        <ns0:majorTickMark val="none"/>
        <ns0:minorTickMark val="none"/>
        <ns0:tickLblPos val="nextTo"/>
        <ns0:crossAx val="100"/>
        <ns0:crosses val="autoZero"/>
        <ns0:auto val="1"/>
        <ns0:lblAlgn val="ctr"/>
        <ns0:lblOffset val="100"/>
        <ns0:noMultiLvlLbl val="1"/>
      </ns0:catAx>
      <ns0:valAx>
        <ns0:axId val="100"/>
        <ns0:scaling>
          <ns0:orientation val="minMax"/>
        </ns0:scaling>
        <ns0:delete val="1"/>
        <ns0:axPos val="l"/>
        <ns0:majorGridlines/>
        <ns0:numFmt formatCode="#\ ##0;\(#\ ##0\);&quot;–&quot;" sourceLinked="1"/>
        <ns0:majorTickMark val="none"/>
        <ns0:minorTickMark val="none"/>
        <ns0:tickLblPos val="nextTo"/>
        <ns0:crossAx val="10"/>
        <ns0:crosses val="autoZero"/>
        <ns0:crossBetween val="between"/>
      </ns0:valAx>
    </ns0:plotArea>
    <ns0:legend>
      <ns0:legendPos val="r"/>
      <ns0:overlay val="1"/>
    </ns0:legend>
    <ns0:plotVisOnly val="1"/>
    <ns0:dispBlanksAs val="gap"/>
    <ns0:showDLblsOverMax val="1"/>
  </ns0:chart>
  <ns0:printSettings>
    <ns0:headerFooter/>
    <ns0:pageMargins b="0.75" l="0.7" r="0.7" t="0.75" header="0.3" footer="0.3"/>
    <ns0:pageSetup/>
  </ns0:printSettings>
</ns0:chartSpace>
</file>

<file path=xl/charts/chart4.xml><?xml version="1.0" encoding="utf-8"?>
<ns0:chartSpace xmlns:ns0="http://schemas.openxmlformats.org/drawingml/2006/chart" xmlns:ns1="http://schemas.openxmlformats.org/drawingml/2006/main" xmlns:ns2="http://schemas.microsoft.com/office/drawing/2014/chart">
  <ns0:date1904 val="0"/>
  <ns0:lang val="ru-RU"/>
  <ns0:roundedCorners val="1"/>
  <ns0:style val="10"/>
  <ns0:chart>
    <ns0:title>
      <ns0:tx>
        <ns0:rich>
          <ns1:bodyPr/>
          <ns1:lstStyle/>
          <ns1:p>
            <ns1:pPr>
              <ns1:defRPr sz="1300" b="0">
                <ns1:latin typeface="Noto Sans SC"/>
                <ns1:ea typeface="Noto Sans SC"/>
              </ns1:defRPr>
            </ns1:pPr>
            <ns1:r>
              <ns1:rPr sz="1300" b="0">
                <ns1:latin typeface="Noto Sans SC"/>
                <ns1:ea typeface="Noto Sans SC"/>
              </ns1:rPr>
              <ns1:t>Выручка vs затраты: выход в плюс</ns1:t>
            </ns1:r>
          </ns1:p>
        </ns0:rich>
      </ns0:tx>
      <ns0:overlay val="1"/>
    </ns0:title>
    <ns0:autoTitleDeleted val="0"/>
    <ns0:plotArea>
      <ns0:layout/>
      <ns0:lineChart>
        <ns0:grouping val="standard"/>
        <ns0:varyColors val="1"/>
        <ns0:ser>
          <ns0:idx val="0"/>
          <ns0:order val="0"/>
          <ns0:tx>
            <ns0:strRef>
              <ns0:f>Безубыточность!$C$14</ns0:f>
              <ns0:strCache>
                <ns0:ptCount val="1"/>
                <ns0:pt idx="0">
                  <ns0:v>Выручка, ₽</ns0:v>
                </ns0:pt>
              </ns0:strCache>
            </ns0:strRef>
          </ns0:tx>
          <ns0:spPr>
            <ns1:ln>
              <ns1:prstDash val="solid"/>
            </ns1:ln>
          </ns0:spPr>
          <ns0:marker>
            <ns0:symbol val="none"/>
          </ns0:marker>
          <ns0:cat>
            <ns0:numRef>
              <ns0:f>Безубыточность!$B$15:$B$38</ns0:f>
              <ns0:numCache>
                <ns0:formatCode>General</ns0:formatCode>
                <ns0:ptCount val="24"/>
                <ns0:pt idx="0">
                  <ns0:v>1</ns0:v>
                </ns0:pt>
                <ns0:pt idx="1">
                  <ns0:v>2</ns0:v>
                </ns0:pt>
                <ns0:pt idx="2">
                  <ns0:v>3</ns0:v>
                </ns0:pt>
                <ns0:pt idx="3">
                  <ns0:v>4</ns0:v>
                </ns0:pt>
                <ns0:pt idx="4">
                  <ns0:v>5</ns0:v>
                </ns0:pt>
                <ns0:pt idx="5">
                  <ns0:v>6</ns0:v>
                </ns0:pt>
                <ns0:pt idx="6">
                  <ns0:v>7</ns0:v>
                </ns0:pt>
                <ns0:pt idx="7">
                  <ns0:v>8</ns0:v>
                </ns0:pt>
                <ns0:pt idx="8">
                  <ns0:v>9</ns0:v>
                </ns0:pt>
                <ns0:pt idx="9">
                  <ns0:v>10</ns0:v>
                </ns0:pt>
                <ns0:pt idx="10">
                  <ns0:v>11</ns0:v>
                </ns0:pt>
                <ns0:pt idx="11">
                  <ns0:v>12</ns0:v>
                </ns0:pt>
                <ns0:pt idx="12">
                  <ns0:v>13</ns0:v>
                </ns0:pt>
                <ns0:pt idx="13">
                  <ns0:v>14</ns0:v>
                </ns0:pt>
                <ns0:pt idx="14">
                  <ns0:v>15</ns0:v>
                </ns0:pt>
                <ns0:pt idx="15">
                  <ns0:v>16</ns0:v>
                </ns0:pt>
                <ns0:pt idx="16">
                  <ns0:v>17</ns0:v>
                </ns0:pt>
                <ns0:pt idx="17">
                  <ns0:v>18</ns0:v>
                </ns0:pt>
                <ns0:pt idx="18">
                  <ns0:v>19</ns0:v>
                </ns0:pt>
                <ns0:pt idx="19">
                  <ns0:v>20</ns0:v>
                </ns0:pt>
                <ns0:pt idx="20">
                  <ns0:v>21</ns0:v>
                </ns0:pt>
                <ns0:pt idx="21">
                  <ns0:v>22</ns0:v>
                </ns0:pt>
                <ns0:pt idx="22">
                  <ns0:v>23</ns0:v>
                </ns0:pt>
                <ns0:pt idx="23">
                  <ns0:v>24</ns0:v>
                </ns0:pt>
              </ns0:numCache>
            </ns0:numRef>
          </ns0:cat>
          <ns0:val>
            <ns0:numRef>
              <ns0:f>Безубыточность!$C$15:$C$38</ns0:f>
              <ns0:numCache>
                <ns0:formatCode>#\ ##0;\(#\ ##0\);"–"</ns0:formatCode>
                <ns0:ptCount val="24"/>
                <ns0:pt idx="0">
                  <ns0:v>76010.19625000001</ns0:v>
                </ns0:pt>
                <ns0:pt idx="1">
                  <ns0:v>155060.80035</ns0:v>
                </ns0:pt>
                <ns0:pt idx="2">
                  <ns0:v>238025.92955687505</ns0:v>
                </ns0:pt>
                <ns0:pt idx="3">
                  <ns0:v>325889.9159120625</ns0:v>
                </ns0:pt>
                <ns0:pt idx="4">
                  <ns0:v>419764.8835994454</ns0:v>
                </ns0:pt>
                <ns0:pt idx="5">
                  <ns0:v>520910.91064990684</ns0:v>
                </ns0:pt>
                <ns0:pt idx="6">
                  <ns0:v>630759.1652574104</ns0:v>
                </ns0:pt>
                <ns0:pt idx="7">
                  <ns0:v>750938.4653805385</ns0:v>
                </ns0:pt>
                <ns0:pt idx="8">
                  <ns0:v>883305.77748041</ns0:v>
                </ns0:pt>
                <ns0:pt idx="9">
                  <ns0:v>1029981.2475056228</ns0:v>
                </ns0:pt>
                <ns0:pt idx="10">
                  <ns0:v>1193388.44608946</ns0:v>
                </ns0:pt>
                <ns0:pt idx="11">
                  <ns0:v>1376300.6121129731</ns0:v>
                </ns0:pt>
                <ns0:pt idx="12">
                  <ns0:v>1581893.7963095084</ns0:v>
                </ns0:pt>
                <ns0:pt idx="13">
                  <ns0:v>1813807.941741544</ns0:v>
                </ns0:pt>
                <ns0:pt idx="14">
                  <ns0:v>2076217.093414105</ns0:v>
                </ns0:pt>
                <ns0:pt idx="15">
                  <ns0:v>2373910.1080419836</ns0:v>
                </ns0:pt>
                <ns0:pt idx="16">
                  <ns0:v>2712383.4405582557</ns0:v>
                </ns0:pt>
                <ns0:pt idx="17">
                  <ns0:v>3097947.820361469</ns0:v>
                </ns0:pt>
                <ns0:pt idx="18">
                  <ns0:v>3537850.902174191</ns0:v>
                </ns0:pt>
                <ns0:pt idx="19">
                  <ns0:v>4040418.2890458973</ns0:v>
                </ns0:pt>
                <ns0:pt idx="20">
                  <ns0:v>4615215.684596079</ns0:v>
                </ns0:pt>
                <ns0:pt idx="21">
                  <ns0:v>5174960.941366275</ns0:v>
                </ns0:pt>
                <ns0:pt idx="22">
                  <ns0:v>5706718.935297961</ns0:v>
                </ns0:pt>
                <ns0:pt idx="23">
                  <ns0:v>6211889.029533065</ns0:v>
                </ns0:pt>
              </ns0:numCache>
            </ns0:numRef>
          </ns0:val>
          <ns0:smooth val="1"/>
          <ns0:extLst>
            <ns0:ext uri="{C3380CC4-5D6E-409C-BE32-E72D297353CC}">
              <ns2:uniqueId val="{00000000-ECDA-4291-B533-64EB0A84172F}"/>
            </ns0:ext>
          </ns0:extLst>
        </ns0:ser>
        <ns0:ser>
          <ns0:idx val="1"/>
          <ns0:order val="1"/>
          <ns0:tx>
            <ns0:strRef>
              <ns0:f>Безубыточность!$D$14</ns0:f>
              <ns0:strCache>
                <ns0:ptCount val="1"/>
                <ns0:pt idx="0">
                  <ns0:v>Затраты, ₽</ns0:v>
                </ns0:pt>
              </ns0:strCache>
            </ns0:strRef>
          </ns0:tx>
          <ns0:spPr>
            <ns1:ln>
              <ns1:prstDash val="solid"/>
            </ns1:ln>
          </ns0:spPr>
          <ns0:marker>
            <ns0:symbol val="none"/>
          </ns0:marker>
          <ns0:cat>
            <ns0:numRef>
              <ns0:f>Безубыточность!$B$15:$B$38</ns0:f>
              <ns0:numCache>
                <ns0:formatCode>General</ns0:formatCode>
                <ns0:ptCount val="24"/>
                <ns0:pt idx="0">
                  <ns0:v>1</ns0:v>
                </ns0:pt>
                <ns0:pt idx="1">
                  <ns0:v>2</ns0:v>
                </ns0:pt>
                <ns0:pt idx="2">
                  <ns0:v>3</ns0:v>
                </ns0:pt>
                <ns0:pt idx="3">
                  <ns0:v>4</ns0:v>
                </ns0:pt>
                <ns0:pt idx="4">
                  <ns0:v>5</ns0:v>
                </ns0:pt>
                <ns0:pt idx="5">
                  <ns0:v>6</ns0:v>
                </ns0:pt>
                <ns0:pt idx="6">
                  <ns0:v>7</ns0:v>
                </ns0:pt>
                <ns0:pt idx="7">
                  <ns0:v>8</ns0:v>
                </ns0:pt>
                <ns0:pt idx="8">
                  <ns0:v>9</ns0:v>
                </ns0:pt>
                <ns0:pt idx="9">
                  <ns0:v>10</ns0:v>
                </ns0:pt>
                <ns0:pt idx="10">
                  <ns0:v>11</ns0:v>
                </ns0:pt>
                <ns0:pt idx="11">
                  <ns0:v>12</ns0:v>
                </ns0:pt>
                <ns0:pt idx="12">
                  <ns0:v>13</ns0:v>
                </ns0:pt>
                <ns0:pt idx="13">
                  <ns0:v>14</ns0:v>
                </ns0:pt>
                <ns0:pt idx="14">
                  <ns0:v>15</ns0:v>
                </ns0:pt>
                <ns0:pt idx="15">
                  <ns0:v>16</ns0:v>
                </ns0:pt>
                <ns0:pt idx="16">
                  <ns0:v>17</ns0:v>
                </ns0:pt>
                <ns0:pt idx="17">
                  <ns0:v>18</ns0:v>
                </ns0:pt>
                <ns0:pt idx="18">
                  <ns0:v>19</ns0:v>
                </ns0:pt>
                <ns0:pt idx="19">
                  <ns0:v>20</ns0:v>
                </ns0:pt>
                <ns0:pt idx="20">
                  <ns0:v>21</ns0:v>
                </ns0:pt>
                <ns0:pt idx="21">
                  <ns0:v>22</ns0:v>
                </ns0:pt>
                <ns0:pt idx="22">
                  <ns0:v>23</ns0:v>
                </ns0:pt>
                <ns0:pt idx="23">
                  <ns0:v>24</ns0:v>
                </ns0:pt>
              </ns0:numCache>
            </ns0:numRef>
          </ns0:cat>
          <ns0:val>
            <ns0:numRef>
              <ns0:f>Безубыточность!$D$15:$D$38</ns0:f>
              <ns0:numCache>
                <ns0:formatCode>#\ ##0;\(#\ ##0\);"–"</ns0:formatCode>
                <ns0:ptCount val="24"/>
                <ns0:pt idx="0">
                  <ns0:v>779987.436245</ns0:v>
                </ns0:pt>
                <ns0:pt idx="1">
                  <ns0:v>792572.3699398</ns0:v>
                </ns0:pt>
                <ns0:pt idx="2">
                  <ns0:v>806711.9566012175</ns0:v>
                </ns0:pt>
                <ns0:pt idx="3">
                  <ns0:v>822656.0485286253</ns0:v>
                </ns0:pt>
                <ns0:pt idx="4">
                  <ns0:v>840691.1431485829</ns0:v>
                </ns0:pt>
                <ns0:pt idx="5">
                  <ns0:v>861145.921419801</ns0:v>
                </ns0:pt>
                <ns0:pt idx="6">
                  <ns0:v>1434397.6149170552</ns0:v>
                </ns0:pt>
                <ns0:pt idx="7">
                  <ns0:v>1460879.3259999836</ns0:v>
                </ns0:pt>
                <ns0:pt idx="8">
                  <ns0:v>1491088.4441283825</ns0:v>
                </ns0:pt>
                <ns0:pt idx="9">
                  <ns0:v>1525596.322839921</ns0:v>
                </ns0:pt>
                <ns0:pt idx="10">
                  <ns0:v>1565059.4065788765</ns0:v>
                </ns0:pt>
                <ns0:pt idx="11">
                  <ns0:v>1610232.0249383268</ns0:v>
                </ns0:pt>
                <ns0:pt idx="12">
                  <ns0:v>1661981.104508364</ns0:v>
                </ns0:pt>
                <ns0:pt idx="13">
                  <ns0:v>1721303.086047742</ns0:v>
                </ns0:pt>
                <ns0:pt idx="14">
                  <ns0:v>1789343.3778501707</ns0:v>
                </ns0:pt>
                <ns0:pt idx="15">
                  <ns0:v>1867418.7258035005</ns0:v>
                </ns0:pt>
                <ns0:pt idx="16">
                  <ns0:v>1957042.937711339</ns0:v>
                </ns0:pt>
                <ns0:pt idx="17">
                  <ns0:v>2059956.4650787883</ns0:v>
                </ns0:pt>
                <ns0:pt idx="18">
                  <ns0:v>2178160.421041117</ns0:v>
                </ns0:pt>
                <ns0:pt idx="19">
                  <ns0:v>2313955.6999130696</ns0:v>
                </ns0:pt>
                <ns0:pt idx="20">
                  <ns0:v>2469987.963655326</ns0:v>
                </ns0:pt>
                <ns0:pt idx="21">
                  <ns0:v>2512008.492080695</ns0:v>
                </ns0:pt>
                <ns0:pt idx="22">
                  <ns0:v>2534307.40442466</ns0:v>
                </ns0:pt>
                <ns0:pt idx="23">
                  <ns0:v>2555491.371151427</ns0:v>
                </ns0:pt>
              </ns0:numCache>
            </ns0:numRef>
          </ns0:val>
          <ns0:smooth val="1"/>
          <ns0:extLst>
            <ns0:ext uri="{C3380CC4-5D6E-409C-BE32-E72D297353CC}">
              <ns2:uniqueId val="{00000001-ECDA-4291-B533-64EB0A84172F}"/>
            </ns0:ext>
          </ns0:extLst>
        </ns0:ser>
        <ns0:dLbls>
          <ns0:showLegendKey val="0"/>
          <ns0:showVal val="0"/>
          <ns0:showCatName val="0"/>
          <ns0:showSerName val="0"/>
          <ns0:showPercent val="0"/>
          <ns0:showBubbleSize val="0"/>
        </ns0:dLbls>
        <ns0:smooth val="0"/>
        <ns0:axId val="10"/>
        <ns0:axId val="100"/>
      </ns0:lineChart>
      <ns0:catAx>
        <ns0:axId val="10"/>
        <ns0:scaling>
          <ns0:orientation val="minMax"/>
        </ns0:scaling>
        <ns0:delete val="1"/>
        <ns0:axPos val="b"/>
        <ns0:numFmt formatCode="General" sourceLinked="1"/>
        <ns0:majorTickMark val="none"/>
        <ns0:minorTickMark val="none"/>
        <ns0:tickLblPos val="nextTo"/>
        <ns0:crossAx val="100"/>
        <ns0:crosses val="autoZero"/>
        <ns0:auto val="1"/>
        <ns0:lblAlgn val="ctr"/>
        <ns0:lblOffset val="100"/>
        <ns0:noMultiLvlLbl val="1"/>
      </ns0:catAx>
      <ns0:valAx>
        <ns0:axId val="100"/>
        <ns0:scaling>
          <ns0:orientation val="minMax"/>
        </ns0:scaling>
        <ns0:delete val="1"/>
        <ns0:axPos val="l"/>
        <ns0:majorGridlines/>
        <ns0:numFmt formatCode="#\ ##0;\(#\ ##0\);&quot;–&quot;" sourceLinked="1"/>
        <ns0:majorTickMark val="none"/>
        <ns0:minorTickMark val="none"/>
        <ns0:tickLblPos val="nextTo"/>
        <ns0:crossAx val="10"/>
        <ns0:crosses val="autoZero"/>
        <ns0:crossBetween val="between"/>
      </ns0:valAx>
    </ns0:plotArea>
    <ns0:legend>
      <ns0:legendPos val="r"/>
      <ns0:overlay val="1"/>
    </ns0:legend>
    <ns0:plotVisOnly val="1"/>
    <ns0:dispBlanksAs val="gap"/>
    <ns0:showDLblsOverMax val="1"/>
  </ns0:chart>
  <ns0:printSettings>
    <ns0:headerFooter/>
    <ns0:pageMargins b="0.75" l="0.7" r="0.7" t="0.75" header="0.3" footer="0.3"/>
    <ns0:pageSetup/>
  </ns0:printSettings>
</ns0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19</xdr:row>
      <xdr:rowOff>0</xdr:rowOff>
    </xdr:from>
    <xdr:ext cx="46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17</xdr:row>
      <xdr:rowOff>0</xdr:rowOff>
    </xdr:from>
    <xdr:ext cx="756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21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12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22" customWidth="1"/>
    <x:col min="3" max="3" width="5" customWidth="1"/>
    <x:col min="4" max="4" width="22" customWidth="1"/>
    <x:col min="5" max="5" width="5" customWidth="1"/>
    <x:col min="6" max="6" width="22" customWidth="1"/>
    <x:col min="7" max="7" width="5" customWidth="1"/>
    <x:col min="8" max="8" width="22" customWidth="1"/>
    <x:col min="9" max="9" width="5" customWidth="1"/>
    <x:col min="11" max="11" width="30" customWidth="1"/>
    <x:col min="12" max="12" width="13" customWidth="1"/>
  </x:cols>
  <x:sheetData>
    <x:row r="1" ht="15" customHeight="1"/>
    <x:row r="2" ht="31.950000762939453" customHeight="1">
      <x:c r="B2" s="63" t="s">
        <x:v>0</x:v>
      </x:c>
      <x:c r="C2" s="62"/>
      <x:c r="D2" s="62"/>
      <x:c r="E2" s="62"/>
      <x:c r="F2" s="62"/>
      <x:c r="G2" s="62"/>
    </x:row>
    <x:row r="3">
      <x:c r="B3" s="61" t="str">
        <x:v>Прогнозная модель. Тарифы PAYG — expense-v2; подписки, триал и воронка — допущения, не фактические результаты.</x:v>
      </x:c>
      <x:c r="C3" s="62"/>
      <x:c r="D3" s="62"/>
      <x:c r="E3" s="62"/>
      <x:c r="F3" s="62"/>
      <x:c r="G3" s="62"/>
    </x:row>
    <x:row r="5" ht="30" customHeight="1">
      <x:c r="B5" s="1" t="n">
        <x:f>'Затраты работодателя'!F5</x:f>
        <x:v>6926</x:v>
      </x:c>
      <x:c r="D5" s="1" t="n">
        <x:f>'Затраты работодателя'!F10</x:f>
        <x:v>548100</x:v>
      </x:c>
      <x:c r="F5" s="2" t="n">
        <x:f>'Затраты работодателя'!G14</x:f>
        <x:v>0.9873636197774128</x:v>
      </x:c>
      <x:c r="H5" s="3" t="n">
        <x:f>Выручка!Z8</x:f>
        <x:v>1021.5552215359961</x:v>
      </x:c>
    </x:row>
    <x:row r="6" ht="25.950000762939453" customHeight="1">
      <x:c r="B6" s="4" t="s">
        <x:v>1</x:v>
      </x:c>
      <x:c r="D6" s="4" t="s">
        <x:v>2</x:v>
      </x:c>
      <x:c r="F6" s="4" t="s">
        <x:v>3</x:v>
      </x:c>
      <x:c r="H6" s="4" t="s">
        <x:v>4</x:v>
      </x:c>
    </x:row>
    <x:row r="9" ht="30" customHeight="1">
      <x:c r="B9" s="1" t="n">
        <x:f>Выручка!Z18*12</x:f>
        <x:v>74542668.35439678</x:v>
      </x:c>
      <x:c r="D9" s="3" t="n">
        <x:f>Безубыточность!C8</x:f>
        <x:v>14</x:v>
      </x:c>
      <x:c r="F9" s="5" t="n">
        <x:f>'Юнит-экономика'!C16</x:f>
        <x:v>13.921604185480954</x:v>
      </x:c>
      <x:c r="H9" s="2" t="n">
        <x:f>'Юнит-экономика'!C11</x:f>
        <x:v>0.9580004811236617</x:v>
      </x:c>
    </x:row>
    <x:row r="10" ht="25.950000762939453" customHeight="1">
      <x:c r="B10" s="4" t="s">
        <x:v>5</x:v>
      </x:c>
      <x:c r="D10" s="4" t="s">
        <x:v>6</x:v>
      </x:c>
      <x:c r="F10" s="4" t="s">
        <x:v>7</x:v>
      </x:c>
      <x:c r="H10" s="4" t="s">
        <x:v>8</x:v>
      </x:c>
    </x:row>
    <x:row r="13" ht="24" customHeight="1">
      <x:c r="B13" s="68" t="s">
        <x:v>9</x:v>
      </x:c>
      <x:c r="C13" s="62"/>
      <x:c r="D13" s="62"/>
      <x:c r="E13" s="62"/>
      <x:c r="F13" s="62"/>
      <x:c r="G13" s="62"/>
    </x:row>
    <x:row r="14" ht="42" customHeight="1">
      <x:c r="B14" s="64" t="str">
        <x:v>1. Сценарный найм: 398 ₽ + 18 × 196 ₽ + 3 ч HR × 1 000 ₽. Сравнение с агентством основано на медианной зарплате 182 700 ₽ и комиссии 20%.</x:v>
      </x:c>
      <x:c r="C14" s="65"/>
      <x:c r="D14" s="65"/>
      <x:c r="E14" s="65"/>
      <x:c r="F14" s="65"/>
      <x:c r="G14" s="65"/>
    </x:row>
    <x:row r="15" ht="42" customHeight="1">
      <x:c r="B15" s="66" t="str">
        <x:v>2. PAYG: публикация 398 ₽, приглашение 49 ₽ + 147 ₽ после принятия, неустойка 398 ₽. Подписки 9 900 / 29 900 ₽ — прогноз, не действующий биллинг.</x:v>
      </x:c>
      <x:c r="C15" s="67"/>
      <x:c r="D15" s="67"/>
      <x:c r="E15" s="67"/>
      <x:c r="F15" s="67"/>
      <x:c r="G15" s="67"/>
    </x:row>
    <x:row r="16" ht="42" customHeight="1">
      <x:c r="B16" s="64" t="str">
        <x:v>3. ARR, безубыточность и LTV/CAC выше — прогноз при росте триалов 15%/мес, конверсии 25%, оттоке 5%. Все результаты связаны с допущениями.</x:v>
      </x:c>
      <x:c r="C16" s="65"/>
      <x:c r="D16" s="65"/>
      <x:c r="E16" s="65"/>
      <x:c r="F16" s="65"/>
      <x:c r="G16" s="65"/>
    </x:row>
    <x:row r="17" ht="42" customHeight="1">
      <x:c r="B17" s="66" t="str">
        <x:v>4. Триал 14 дней: 1 вакансия + 10 приглашений — план предложения. Себестоимость и ценность рассчитаны на листе «Триал»; продуктовая реализация не подтверждена.</x:v>
      </x:c>
      <x:c r="C17" s="67"/>
      <x:c r="D17" s="67"/>
      <x:c r="E17" s="67"/>
      <x:c r="F17" s="67"/>
      <x:c r="G17" s="67"/>
    </x:row>
    <x:row r="18" ht="42" customHeight="1">
      <x:c r="B18" s="64" t="str">
        <x:v>5. В модели приглашения приняты в 100% случаев. Реальный PAYG = 398 × публикации + 49 × отправки + 147 × принятия + 398 × неустойки + ИИ.</x:v>
      </x:c>
      <x:c r="C18" s="65"/>
      <x:c r="D18" s="65"/>
      <x:c r="E18" s="65"/>
      <x:c r="F18" s="65"/>
      <x:c r="G18" s="65"/>
    </x:row>
    <x:row r="20">
      <x:c r="K20" s="10" t="s">
        <x:v>10</x:v>
      </x:c>
    </x:row>
    <x:row r="21">
      <x:c r="K21" s="10" t="s">
        <x:v>11</x:v>
      </x:c>
      <x:c r="L21" s="10" t="s">
        <x:v>12</x:v>
      </x:c>
    </x:row>
    <x:row r="22">
      <x:c r="K22" s="10" t="s">
        <x:v>13</x:v>
      </x:c>
      <x:c r="L22" s="11" t="n">
        <x:f>'Выручка'!Z14</x:f>
        <x:v>2528349.1733015906</x:v>
      </x:c>
    </x:row>
    <x:row r="23">
      <x:c r="K23" s="10" t="s">
        <x:v>14</x:v>
      </x:c>
      <x:c r="L23" s="11" t="n">
        <x:f>'Выручка'!Z15</x:f>
        <x:v>2443560.089914103</x:v>
      </x:c>
    </x:row>
    <x:row r="24">
      <x:c r="K24" s="10" t="s">
        <x:v>15</x:v>
      </x:c>
      <x:c r="L24" s="11" t="n">
        <x:f>'Выручка'!Z16</x:f>
        <x:v>1211051.6720204805</x:v>
      </x:c>
    </x:row>
    <x:row r="25">
      <x:c r="K25" s="10" t="s">
        <x:v>16</x:v>
      </x:c>
      <x:c r="L25" s="11" t="n">
        <x:f>'Выручка'!Z17</x:f>
        <x:v>28928.094296889878</x:v>
      </x:c>
    </x:row>
  </x:sheetData>
  <x:mergeCells>
    <x:mergeCell ref="B18:G18"/>
    <x:mergeCell ref="B13:G13"/>
    <x:mergeCell ref="B15:G15"/>
    <x:mergeCell ref="B3:G3"/>
    <x:mergeCell ref="B2:G2"/>
    <x:mergeCell ref="B16:G16"/>
    <x:mergeCell ref="B14:G14"/>
    <x:mergeCell ref="B17:G17"/>
  </x:mergeCells>
  <x:pageMargins left="0.7" right="0.7" top="0.75" bottom="0.75" header="0.3" footer="0.3"/>
  <x:drawing xmlns:r="http://schemas.openxmlformats.org/officeDocument/2006/relationships" r:id="rId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42" customWidth="1"/>
    <x:col min="3" max="4" width="13" customWidth="1"/>
    <x:col min="5" max="5" width="52" customWidth="1"/>
  </x:cols>
  <x:sheetData>
    <x:row r="1" ht="15" customHeight="1"/>
    <x:row r="2" ht="31.950000762939453" customHeight="1">
      <x:c r="B2" s="63" t="s">
        <x:v>17</x:v>
      </x:c>
      <x:c r="C2" s="62"/>
      <x:c r="D2" s="62"/>
      <x:c r="E2" s="62"/>
    </x:row>
    <x:row r="3" ht="7.949999809265137" customHeight="1"/>
    <x:row r="4" ht="28.049999237060547" customHeight="1">
      <x:c r="B4" s="12" t="s">
        <x:v>18</x:v>
      </x:c>
      <x:c r="C4" s="12" t="s">
        <x:v>19</x:v>
      </x:c>
      <x:c r="D4" s="12" t="s">
        <x:v>20</x:v>
      </x:c>
      <x:c r="E4" s="12" t="s">
        <x:v>21</x:v>
      </x:c>
    </x:row>
    <x:row r="5" ht="19.950000762939453" customHeight="1">
      <x:c r="B5" s="68" t="s">
        <x:v>22</x:v>
      </x:c>
      <x:c r="C5" s="62"/>
      <x:c r="D5" s="62"/>
      <x:c r="E5" s="62"/>
    </x:row>
    <x:row r="6" ht="19.950000762939453" customHeight="1">
      <x:c r="B6" s="6" t="s">
        <x:v>23</x:v>
      </x:c>
      <x:c r="C6" s="13">
        <x:v>182700</x:v>
      </x:c>
      <x:c r="D6" s="14" t="s">
        <x:v>24</x:v>
      </x:c>
      <x:c r="E6" s="15" t="s">
        <x:v>25</x:v>
      </x:c>
    </x:row>
    <x:row r="7" ht="19.950000762939453" customHeight="1">
      <x:c r="B7" s="8" t="s">
        <x:v>26</x:v>
      </x:c>
      <x:c r="C7" s="16">
        <x:v>77000</x:v>
      </x:c>
      <x:c r="D7" s="17" t="s">
        <x:v>24</x:v>
      </x:c>
      <x:c r="E7" s="18" t="s">
        <x:v>27</x:v>
      </x:c>
    </x:row>
    <x:row r="8" ht="19.950000762939453" customHeight="1">
      <x:c r="B8" s="6" t="s">
        <x:v>28</x:v>
      </x:c>
      <x:c r="C8" s="13">
        <x:v>167000</x:v>
      </x:c>
      <x:c r="D8" s="14" t="s">
        <x:v>24</x:v>
      </x:c>
      <x:c r="E8" s="15" t="s">
        <x:v>27</x:v>
      </x:c>
    </x:row>
    <x:row r="9" ht="19.950000762939453" customHeight="1">
      <x:c r="B9" s="8" t="s">
        <x:v>29</x:v>
      </x:c>
      <x:c r="C9" s="16">
        <x:v>280000</x:v>
      </x:c>
      <x:c r="D9" s="17" t="s">
        <x:v>24</x:v>
      </x:c>
      <x:c r="E9" s="18" t="s">
        <x:v>27</x:v>
      </x:c>
    </x:row>
    <x:row r="10" ht="19.950000762939453" customHeight="1">
      <x:c r="B10" s="6" t="s">
        <x:v>30</x:v>
      </x:c>
      <x:c r="C10" s="19">
        <x:v>0.2</x:v>
      </x:c>
      <x:c r="D10" s="14" t="s">
        <x:v>31</x:v>
      </x:c>
      <x:c r="E10" s="15" t="s">
        <x:v>32</x:v>
      </x:c>
    </x:row>
    <x:row r="11" ht="19.950000762939453" customHeight="1">
      <x:c r="B11" s="8" t="s">
        <x:v>33</x:v>
      </x:c>
      <x:c r="C11" s="20">
        <x:v>0.25</x:v>
      </x:c>
      <x:c r="D11" s="17" t="s">
        <x:v>34</x:v>
      </x:c>
      <x:c r="E11" s="18" t="s">
        <x:v>35</x:v>
      </x:c>
    </x:row>
    <x:row r="12" ht="19.950000762939453" customHeight="1">
      <x:c r="B12" s="6" t="s">
        <x:v>36</x:v>
      </x:c>
      <x:c r="C12" s="13">
        <x:v>43000</x:v>
      </x:c>
      <x:c r="D12" s="14" t="s">
        <x:v>37</x:v>
      </x:c>
      <x:c r="E12" s="15" t="s">
        <x:v>38</x:v>
      </x:c>
    </x:row>
    <x:row r="13" ht="19.950000762939453" customHeight="1">
      <x:c r="B13" s="8" t="s">
        <x:v>39</x:v>
      </x:c>
      <x:c r="C13" s="21">
        <x:v>1.75</x:v>
      </x:c>
      <x:c r="D13" s="17" t="s">
        <x:v>40</x:v>
      </x:c>
      <x:c r="E13" s="18" t="s">
        <x:v>41</x:v>
      </x:c>
    </x:row>
    <x:row r="14" ht="19.950000762939453" customHeight="1">
      <x:c r="B14" s="6" t="s">
        <x:v>42</x:v>
      </x:c>
      <x:c r="C14" s="22">
        <x:v>80</x:v>
      </x:c>
      <x:c r="D14" s="14" t="s">
        <x:v>43</x:v>
      </x:c>
      <x:c r="E14" s="15" t="s">
        <x:v>44</x:v>
      </x:c>
    </x:row>
    <x:row r="15" ht="19.950000762939453" customHeight="1">
      <x:c r="B15" s="8" t="s">
        <x:v>45</x:v>
      </x:c>
      <x:c r="C15" s="16">
        <x:v>1000</x:v>
      </x:c>
      <x:c r="D15" s="17" t="s">
        <x:v>46</x:v>
      </x:c>
      <x:c r="E15" s="18" t="s">
        <x:v>47</x:v>
      </x:c>
    </x:row>
    <x:row r="16" ht="19.950000762939453" customHeight="1">
      <x:c r="B16" s="6" t="s">
        <x:v>48</x:v>
      </x:c>
      <x:c r="C16" s="22">
        <x:v>3</x:v>
      </x:c>
      <x:c r="D16" s="14" t="s">
        <x:v>43</x:v>
      </x:c>
      <x:c r="E16" s="15" t="str">
        <x:v>Сценарное допущение 3 ч; не замер пользовательского найма</x:v>
      </x:c>
    </x:row>
    <x:row r="17" ht="19.950000762939453" customHeight="1">
      <x:c r="B17" s="8" t="s">
        <x:v>49</x:v>
      </x:c>
      <x:c r="C17" s="16">
        <x:v>22080</x:v>
      </x:c>
      <x:c r="D17" s="17" t="s">
        <x:v>37</x:v>
      </x:c>
      <x:c r="E17" s="18" t="s">
        <x:v>50</x:v>
      </x:c>
    </x:row>
    <x:row r="18" ht="19.950000762939453" customHeight="1">
      <x:c r="B18" s="6" t="s">
        <x:v>51</x:v>
      </x:c>
      <x:c r="C18" s="13">
        <x:v>4026</x:v>
      </x:c>
      <x:c r="D18" s="14" t="s">
        <x:v>37</x:v>
      </x:c>
      <x:c r="E18" s="15" t="s">
        <x:v>52</x:v>
      </x:c>
    </x:row>
    <x:row r="19" ht="19.950000762939453" customHeight="1">
      <x:c r="B19" s="8" t="s">
        <x:v>53</x:v>
      </x:c>
      <x:c r="C19" s="16">
        <x:v>800</x:v>
      </x:c>
      <x:c r="D19" s="17" t="s">
        <x:v>37</x:v>
      </x:c>
      <x:c r="E19" s="18" t="s">
        <x:v>54</x:v>
      </x:c>
    </x:row>
    <x:row r="20" ht="19.950000762939453" customHeight="1">
      <x:c r="B20" s="68" t="s">
        <x:v>55</x:v>
      </x:c>
      <x:c r="C20" s="62"/>
      <x:c r="D20" s="62"/>
      <x:c r="E20" s="62"/>
    </x:row>
    <x:row r="21" ht="19.950000762939453" customHeight="1">
      <x:c r="B21" s="6" t="str">
        <x:v>Публикация нового черновика</x:v>
      </x:c>
      <x:c r="C21" s="23" t="n">
        <x:v>398</x:v>
      </x:c>
      <x:c r="D21" s="14" t="s">
        <x:v>37</x:v>
      </x:c>
      <x:c r="E21" s="15" t="str">
        <x:v>expense-v2: 398 ₽ за новый draft; migration 019</x:v>
      </x:c>
    </x:row>
    <x:row r="22" ht="19.950000762939453" customHeight="1">
      <x:c r="B22" s="8" t="str">
        <x:v>Публикация следующего нового черновика</x:v>
      </x:c>
      <x:c r="C22" s="23" t="n">
        <x:v>398</x:v>
      </x:c>
      <x:c r="D22" s="17" t="s">
        <x:v>37</x:v>
      </x:c>
      <x:c r="E22" s="18" t="str">
        <x:v>Тот же тариф; повтор события одного draft не начисляет расход</x:v>
      </x:c>
    </x:row>
    <x:row r="23" ht="19.950000762939453" customHeight="1">
      <x:c r="B23" s="6" t="s">
        <x:v>56</x:v>
      </x:c>
      <x:c r="C23" s="24" t="n">
        <x:f>0.2*C21+0.8*C22</x:f>
        <x:v>398.00000000000006</x:v>
      </x:c>
      <x:c r="D23" s="14" t="s">
        <x:v>37</x:v>
      </x:c>
      <x:c r="E23" s="15" t="str">
        <x:v>Единая ставка на каждый новый draft</x:v>
      </x:c>
    </x:row>
    <x:row r="24" ht="19.950000762939453" customHeight="1">
      <x:c r="B24" s="8" t="str">
        <x:v>Приглашение: отправка и принятие</x:v>
      </x:c>
      <x:c r="C24" s="23" t="n">
        <x:v>196</x:v>
      </x:c>
      <x:c r="D24" s="17" t="s">
        <x:v>37</x:v>
      </x:c>
      <x:c r="E24" s="18" t="str">
        <x:v>49 ₽ отправка + 147 ₽ принятие; модель: 100% принятых</x:v>
      </x:c>
    </x:row>
    <x:row r="25" ht="19.950000762939453" customHeight="1">
      <x:c r="B25" s="6" t="s">
        <x:v>57</x:v>
      </x:c>
      <x:c r="C25" s="23" t="n">
        <x:v>398</x:v>
      </x:c>
      <x:c r="D25" s="14" t="s">
        <x:v>37</x:v>
      </x:c>
      <x:c r="E25" s="15" t="str">
        <x:v>expense-v2: просрочка работодателя / решение поддержки</x:v>
      </x:c>
    </x:row>
    <x:row r="26" ht="19.950000762939453" customHeight="1">
      <x:c r="B26" s="8" t="s">
        <x:v>58</x:v>
      </x:c>
      <x:c r="C26" s="20">
        <x:v>0.05</x:v>
      </x:c>
      <x:c r="D26" s="17" t="s">
        <x:v>59</x:v>
      </x:c>
      <x:c r="E26" s="18" t="s">
        <x:v>60</x:v>
      </x:c>
    </x:row>
    <x:row r="27" ht="19.950000762939453" customHeight="1">
      <x:c r="B27" s="6" t="s">
        <x:v>61</x:v>
      </x:c>
      <x:c r="C27" s="23">
        <x:v>9900</x:v>
      </x:c>
      <x:c r="D27" s="14" t="s">
        <x:v>37</x:v>
      </x:c>
      <x:c r="E27" s="15" t="str">
        <x:v>ПРОГНОЗ: 10 вакансий, 200 полных приглашений, ИИ до 1 000 ₽</x:v>
      </x:c>
    </x:row>
    <x:row r="28" ht="19.950000762939453" customHeight="1">
      <x:c r="B28" s="8" t="s">
        <x:v>62</x:v>
      </x:c>
      <x:c r="C28" s="23">
        <x:v>29900</x:v>
      </x:c>
      <x:c r="D28" s="17" t="s">
        <x:v>37</x:v>
      </x:c>
      <x:c r="E28" s="18" t="str">
        <x:v>ПРОГНОЗ: безлимит вакансий, 1 000 полных приглашений, ИИ до 5 000 ₽</x:v>
      </x:c>
    </x:row>
    <x:row r="29" ht="19.950000762939453" customHeight="1">
      <x:c r="B29" s="6" t="s">
        <x:v>63</x:v>
      </x:c>
      <x:c r="C29" s="25">
        <x:v>0.25</x:v>
      </x:c>
      <x:c r="D29" s="14" t="s">
        <x:v>59</x:v>
      </x:c>
      <x:c r="E29" s="15" t="s">
        <x:v>64</x:v>
      </x:c>
    </x:row>
    <x:row r="30" ht="19.950000762939453" customHeight="1">
      <x:c r="B30" s="8" t="s">
        <x:v>65</x:v>
      </x:c>
      <x:c r="C30" s="25">
        <x:v>0.08</x:v>
      </x:c>
      <x:c r="D30" s="17" t="s">
        <x:v>59</x:v>
      </x:c>
      <x:c r="E30" s="18" t="s">
        <x:v>64</x:v>
      </x:c>
    </x:row>
    <x:row r="31" ht="19.950000762939453" customHeight="1">
      <x:c r="B31" s="6" t="s">
        <x:v>66</x:v>
      </x:c>
      <x:c r="C31" s="26" t="n">
        <x:f>1-C29-C30</x:f>
        <x:v>0.67</x:v>
      </x:c>
      <x:c r="D31" s="14" t="s">
        <x:v>59</x:v>
      </x:c>
      <x:c r="E31" s="15" t="s">
        <x:v>67</x:v>
      </x:c>
    </x:row>
    <x:row r="32" ht="19.950000762939453" customHeight="1">
      <x:c r="B32" s="68" t="s">
        <x:v>68</x:v>
      </x:c>
      <x:c r="C32" s="62"/>
      <x:c r="D32" s="62"/>
      <x:c r="E32" s="62"/>
    </x:row>
    <x:row r="33" ht="19.950000762939453" customHeight="1">
      <x:c r="B33" s="6" t="s">
        <x:v>69</x:v>
      </x:c>
      <x:c r="C33" s="27">
        <x:v>18</x:v>
      </x:c>
      <x:c r="D33" s="14" t="s">
        <x:v>70</x:v>
      </x:c>
      <x:c r="E33" s="15" t="str">
        <x:v>Допущение: 18 отправлены и приняты на один найм; верхняя оценка</x:v>
      </x:c>
    </x:row>
    <x:row r="34" ht="19.950000762939453" customHeight="1">
      <x:c r="B34" s="8" t="s">
        <x:v>71</x:v>
      </x:c>
      <x:c r="C34" s="21">
        <x:v>1.5</x:v>
      </x:c>
      <x:c r="D34" s="17" t="s">
        <x:v>72</x:v>
      </x:c>
      <x:c r="E34" s="18" t="s">
        <x:v>73</x:v>
      </x:c>
    </x:row>
    <x:row r="35" ht="19.950000762939453" customHeight="1">
      <x:c r="B35" s="6" t="s">
        <x:v>74</x:v>
      </x:c>
      <x:c r="C35" s="22">
        <x:v>12</x:v>
      </x:c>
      <x:c r="D35" s="14" t="s">
        <x:v>72</x:v>
      </x:c>
      <x:c r="E35" s="15" t="str">
        <x:v>Допущение: 12 отправлены и приняты в активный месяц</x:v>
      </x:c>
    </x:row>
    <x:row r="36" ht="19.950000762939453" customHeight="1">
      <x:c r="B36" s="8" t="s">
        <x:v>75</x:v>
      </x:c>
      <x:c r="C36" s="28">
        <x:v>2</x:v>
      </x:c>
      <x:c r="D36" s="17" t="s">
        <x:v>72</x:v>
      </x:c>
      <x:c r="E36" s="18"/>
    </x:row>
    <x:row r="37" ht="19.950000762939453" customHeight="1">
      <x:c r="B37" s="6" t="s">
        <x:v>76</x:v>
      </x:c>
      <x:c r="C37" s="22">
        <x:v>4</x:v>
      </x:c>
      <x:c r="D37" s="14" t="s">
        <x:v>72</x:v>
      </x:c>
      <x:c r="E37" s="15"/>
    </x:row>
    <x:row r="38" ht="19.950000762939453" customHeight="1">
      <x:c r="B38" s="8" t="s">
        <x:v>77</x:v>
      </x:c>
      <x:c r="C38" s="28">
        <x:v>100</x:v>
      </x:c>
      <x:c r="D38" s="17" t="s">
        <x:v>72</x:v>
      </x:c>
      <x:c r="E38" s="18"/>
    </x:row>
    <x:row r="39" ht="19.950000762939453" customHeight="1">
      <x:c r="B39" s="6" t="s">
        <x:v>78</x:v>
      </x:c>
      <x:c r="C39" s="22">
        <x:v>300</x:v>
      </x:c>
      <x:c r="D39" s="14" t="s">
        <x:v>72</x:v>
      </x:c>
      <x:c r="E39" s="15"/>
    </x:row>
    <x:row r="40" ht="19.950000762939453" customHeight="1">
      <x:c r="B40" s="8" t="s">
        <x:v>79</x:v>
      </x:c>
      <x:c r="C40" s="20">
        <x:v>0.6</x:v>
      </x:c>
      <x:c r="D40" s="17" t="s">
        <x:v>59</x:v>
      </x:c>
      <x:c r="E40" s="18" t="s">
        <x:v>80</x:v>
      </x:c>
    </x:row>
    <x:row r="41" ht="19.950000762939453" customHeight="1">
      <x:c r="B41" s="68" t="s">
        <x:v>81</x:v>
      </x:c>
      <x:c r="C41" s="62"/>
      <x:c r="D41" s="62"/>
      <x:c r="E41" s="62"/>
    </x:row>
    <x:row r="42" ht="19.950000762939453" customHeight="1">
      <x:c r="B42" s="6" t="s">
        <x:v>82</x:v>
      </x:c>
      <x:c r="C42" s="29">
        <x:v>0.2</x:v>
      </x:c>
      <x:c r="D42" s="14" t="s">
        <x:v>83</x:v>
      </x:c>
      <x:c r="E42" s="15" t="str">
        <x:v>Модельное допущение $0.20/1M, не подтверждённый текущий прайс</x:v>
      </x:c>
    </x:row>
    <x:row r="43" ht="19.950000762939453" customHeight="1">
      <x:c r="B43" s="8" t="s">
        <x:v>84</x:v>
      </x:c>
      <x:c r="C43" s="30">
        <x:v>0.7</x:v>
      </x:c>
      <x:c r="D43" s="17" t="s">
        <x:v>83</x:v>
      </x:c>
      <x:c r="E43" s="18" t="str">
        <x:v>Модельное допущение $0.70/1M, не подтверждённый текущий прайс</x:v>
      </x:c>
    </x:row>
    <x:row r="44" ht="19.950000762939453" customHeight="1">
      <x:c r="B44" s="6" t="s">
        <x:v>85</x:v>
      </x:c>
      <x:c r="C44" s="22">
        <x:v>100</x:v>
      </x:c>
      <x:c r="D44" s="14" t="s">
        <x:v>86</x:v>
      </x:c>
      <x:c r="E44" s="15" t="s">
        <x:v>87</x:v>
      </x:c>
    </x:row>
    <x:row r="45" ht="19.950000762939453" customHeight="1">
      <x:c r="B45" s="8" t="s">
        <x:v>88</x:v>
      </x:c>
      <x:c r="C45" s="28">
        <x:v>8000</x:v>
      </x:c>
      <x:c r="D45" s="17" t="s">
        <x:v>89</x:v>
      </x:c>
      <x:c r="E45" s="18" t="s">
        <x:v>90</x:v>
      </x:c>
    </x:row>
    <x:row r="46" ht="19.950000762939453" customHeight="1">
      <x:c r="B46" s="6" t="s">
        <x:v>91</x:v>
      </x:c>
      <x:c r="C46" s="22">
        <x:v>2000</x:v>
      </x:c>
      <x:c r="D46" s="14" t="s">
        <x:v>89</x:v>
      </x:c>
      <x:c r="E46" s="15"/>
    </x:row>
    <x:row r="47" ht="19.950000762939453" customHeight="1">
      <x:c r="B47" s="8" t="s">
        <x:v>92</x:v>
      </x:c>
      <x:c r="C47" s="28">
        <x:v>3000</x:v>
      </x:c>
      <x:c r="D47" s="17" t="s">
        <x:v>89</x:v>
      </x:c>
      <x:c r="E47" s="18" t="s">
        <x:v>93</x:v>
      </x:c>
    </x:row>
    <x:row r="48" ht="19.950000762939453" customHeight="1">
      <x:c r="B48" s="6" t="s">
        <x:v>94</x:v>
      </x:c>
      <x:c r="C48" s="22">
        <x:v>1000</x:v>
      </x:c>
      <x:c r="D48" s="14" t="s">
        <x:v>89</x:v>
      </x:c>
      <x:c r="E48" s="15"/>
    </x:row>
    <x:row r="49" ht="19.950000762939453" customHeight="1">
      <x:c r="B49" s="8" t="s">
        <x:v>95</x:v>
      </x:c>
      <x:c r="C49" s="28">
        <x:v>10000</x:v>
      </x:c>
      <x:c r="D49" s="17" t="s">
        <x:v>89</x:v>
      </x:c>
      <x:c r="E49" s="18"/>
    </x:row>
    <x:row r="50" ht="19.950000762939453" customHeight="1">
      <x:c r="B50" s="6" t="s">
        <x:v>96</x:v>
      </x:c>
      <x:c r="C50" s="22">
        <x:v>3000</x:v>
      </x:c>
      <x:c r="D50" s="14" t="s">
        <x:v>89</x:v>
      </x:c>
      <x:c r="E50" s="15"/>
    </x:row>
    <x:row r="51" ht="19.950000762939453" customHeight="1">
      <x:c r="B51" s="8" t="s">
        <x:v>97</x:v>
      </x:c>
      <x:c r="C51" s="31" t="n">
        <x:f>ROUND((C45*C42+C46*C43)/1000000*C44,4)</x:f>
        <x:v>0.3</x:v>
      </x:c>
      <x:c r="D51" s="17" t="s">
        <x:v>37</x:v>
      </x:c>
      <x:c r="E51" s="18" t="s">
        <x:v>98</x:v>
      </x:c>
    </x:row>
    <x:row r="52" ht="19.950000762939453" customHeight="1">
      <x:c r="B52" s="6" t="s">
        <x:v>99</x:v>
      </x:c>
      <x:c r="C52" s="32" t="n">
        <x:f>ROUND((C47*C42+C48*C43)/1000000*C44,4)</x:f>
        <x:v>0.13</x:v>
      </x:c>
      <x:c r="D52" s="14" t="s">
        <x:v>37</x:v>
      </x:c>
      <x:c r="E52" s="15"/>
    </x:row>
    <x:row r="53" ht="19.950000762939453" customHeight="1">
      <x:c r="B53" s="8" t="s">
        <x:v>100</x:v>
      </x:c>
      <x:c r="C53" s="31" t="n">
        <x:f>ROUND((C49*C42+C50*C43)/1000000*C44,4)</x:f>
        <x:v>0.41</x:v>
      </x:c>
      <x:c r="D53" s="17" t="s">
        <x:v>37</x:v>
      </x:c>
      <x:c r="E53" s="18"/>
    </x:row>
    <x:row r="54" ht="19.950000762939453" customHeight="1">
      <x:c r="B54" s="6" t="s">
        <x:v>101</x:v>
      </x:c>
      <x:c r="C54" s="22">
        <x:v>2</x:v>
      </x:c>
      <x:c r="D54" s="14" t="s">
        <x:v>70</x:v>
      </x:c>
      <x:c r="E54" s="15"/>
    </x:row>
    <x:row r="55" ht="19.950000762939453" customHeight="1">
      <x:c r="B55" s="8" t="s">
        <x:v>102</x:v>
      </x:c>
      <x:c r="C55" s="28">
        <x:v>3</x:v>
      </x:c>
      <x:c r="D55" s="17" t="s">
        <x:v>103</x:v>
      </x:c>
      <x:c r="E55" s="18" t="s">
        <x:v>104</x:v>
      </x:c>
    </x:row>
    <x:row r="56" ht="19.950000762939453" customHeight="1">
      <x:c r="B56" s="6" t="s">
        <x:v>105</x:v>
      </x:c>
      <x:c r="C56" s="13">
        <x:v>25000</x:v>
      </x:c>
      <x:c r="D56" s="14" t="s">
        <x:v>24</x:v>
      </x:c>
      <x:c r="E56" s="15" t="s">
        <x:v>106</x:v>
      </x:c>
    </x:row>
    <x:row r="57" ht="19.950000762939453" customHeight="1">
      <x:c r="B57" s="8" t="s">
        <x:v>107</x:v>
      </x:c>
      <x:c r="C57" s="16">
        <x:v>60</x:v>
      </x:c>
      <x:c r="D57" s="17" t="s">
        <x:v>24</x:v>
      </x:c>
      <x:c r="E57" s="18" t="s">
        <x:v>108</x:v>
      </x:c>
    </x:row>
    <x:row r="58" ht="19.950000762939453" customHeight="1">
      <x:c r="B58" s="68" t="s">
        <x:v>109</x:v>
      </x:c>
      <x:c r="C58" s="62"/>
      <x:c r="D58" s="62"/>
      <x:c r="E58" s="62"/>
    </x:row>
    <x:row r="59" ht="19.950000762939453" customHeight="1">
      <x:c r="B59" s="6" t="s">
        <x:v>110</x:v>
      </x:c>
      <x:c r="C59" s="27">
        <x:v>30</x:v>
      </x:c>
      <x:c r="D59" s="14" t="s">
        <x:v>70</x:v>
      </x:c>
      <x:c r="E59" s="15" t="s">
        <x:v>111</x:v>
      </x:c>
    </x:row>
    <x:row r="60" ht="19.950000762939453" customHeight="1">
      <x:c r="B60" s="8" t="s">
        <x:v>112</x:v>
      </x:c>
      <x:c r="C60" s="25">
        <x:v>0.15</x:v>
      </x:c>
      <x:c r="D60" s="17" t="s">
        <x:v>113</x:v>
      </x:c>
      <x:c r="E60" s="18" t="s">
        <x:v>114</x:v>
      </x:c>
    </x:row>
    <x:row r="61" ht="19.950000762939453" customHeight="1">
      <x:c r="B61" s="6" t="s">
        <x:v>115</x:v>
      </x:c>
      <x:c r="C61" s="27">
        <x:v>500</x:v>
      </x:c>
      <x:c r="D61" s="14" t="s">
        <x:v>70</x:v>
      </x:c>
      <x:c r="E61" s="15" t="s">
        <x:v>116</x:v>
      </x:c>
    </x:row>
    <x:row r="62" ht="19.950000762939453" customHeight="1">
      <x:c r="B62" s="8" t="s">
        <x:v>117</x:v>
      </x:c>
      <x:c r="C62" s="25">
        <x:v>0.25</x:v>
      </x:c>
      <x:c r="D62" s="17" t="s">
        <x:v>59</x:v>
      </x:c>
      <x:c r="E62" s="18" t="s">
        <x:v>118</x:v>
      </x:c>
    </x:row>
    <x:row r="63" ht="19.950000762939453" customHeight="1">
      <x:c r="B63" s="6" t="s">
        <x:v>119</x:v>
      </x:c>
      <x:c r="C63" s="22">
        <x:v>5</x:v>
      </x:c>
      <x:c r="D63" s="14" t="s">
        <x:v>70</x:v>
      </x:c>
      <x:c r="E63" s="15" t="s">
        <x:v>120</x:v>
      </x:c>
    </x:row>
    <x:row r="64" ht="19.950000762939453" customHeight="1">
      <x:c r="B64" s="8" t="s">
        <x:v>121</x:v>
      </x:c>
      <x:c r="C64" s="25">
        <x:v>0.05</x:v>
      </x:c>
      <x:c r="D64" s="17" t="s">
        <x:v>113</x:v>
      </x:c>
      <x:c r="E64" s="18" t="s">
        <x:v>122</x:v>
      </x:c>
    </x:row>
    <x:row r="65" ht="19.950000762939453" customHeight="1">
      <x:c r="B65" s="68" t="s">
        <x:v>123</x:v>
      </x:c>
      <x:c r="C65" s="62"/>
      <x:c r="D65" s="62"/>
      <x:c r="E65" s="62"/>
    </x:row>
    <x:row r="66" ht="19.950000762939453" customHeight="1">
      <x:c r="B66" s="6" t="s">
        <x:v>124</x:v>
      </x:c>
      <x:c r="C66" s="13">
        <x:v>2000</x:v>
      </x:c>
      <x:c r="D66" s="14" t="s">
        <x:v>37</x:v>
      </x:c>
      <x:c r="E66" s="15" t="s">
        <x:v>125</x:v>
      </x:c>
    </x:row>
    <x:row r="67" ht="19.950000762939453" customHeight="1">
      <x:c r="B67" s="8" t="s">
        <x:v>126</x:v>
      </x:c>
      <x:c r="C67" s="16">
        <x:v>10000</x:v>
      </x:c>
      <x:c r="D67" s="17" t="s">
        <x:v>37</x:v>
      </x:c>
      <x:c r="E67" s="18" t="s">
        <x:v>127</x:v>
      </x:c>
    </x:row>
    <x:row r="68" ht="19.950000762939453" customHeight="1">
      <x:c r="B68" s="6" t="s">
        <x:v>128</x:v>
      </x:c>
      <x:c r="C68" s="19">
        <x:v>2.8000000000000001E-2</x:v>
      </x:c>
      <x:c r="D68" s="14" t="s">
        <x:v>129</x:v>
      </x:c>
      <x:c r="E68" s="15" t="s">
        <x:v>130</x:v>
      </x:c>
    </x:row>
    <x:row r="69" ht="19.950000762939453" customHeight="1">
      <x:c r="B69" s="8" t="s">
        <x:v>131</x:v>
      </x:c>
      <x:c r="C69" s="16">
        <x:v>200</x:v>
      </x:c>
      <x:c r="D69" s="17" t="s">
        <x:v>37</x:v>
      </x:c>
      <x:c r="E69" s="18" t="s">
        <x:v>132</x:v>
      </x:c>
    </x:row>
    <x:row r="70" ht="19.950000762939453" customHeight="1">
      <x:c r="B70" s="68" t="s">
        <x:v>133</x:v>
      </x:c>
      <x:c r="C70" s="62"/>
      <x:c r="D70" s="62"/>
      <x:c r="E70" s="62"/>
    </x:row>
    <x:row r="71" ht="19.950000762939453" customHeight="1">
      <x:c r="B71" s="6" t="s">
        <x:v>134</x:v>
      </x:c>
      <x:c r="C71" s="13">
        <x:v>600000</x:v>
      </x:c>
      <x:c r="D71" s="14" t="s">
        <x:v>24</x:v>
      </x:c>
      <x:c r="E71" s="15" t="s">
        <x:v>135</x:v>
      </x:c>
    </x:row>
    <x:row r="72" ht="19.950000762939453" customHeight="1">
      <x:c r="B72" s="8" t="s">
        <x:v>136</x:v>
      </x:c>
      <x:c r="C72" s="16">
        <x:v>1150000</x:v>
      </x:c>
      <x:c r="D72" s="17" t="s">
        <x:v>24</x:v>
      </x:c>
      <x:c r="E72" s="18" t="s">
        <x:v>137</x:v>
      </x:c>
    </x:row>
    <x:row r="73" ht="19.950000762939453" customHeight="1">
      <x:c r="B73" s="6" t="s">
        <x:v>138</x:v>
      </x:c>
      <x:c r="C73" s="13">
        <x:v>40000</x:v>
      </x:c>
      <x:c r="D73" s="14" t="s">
        <x:v>24</x:v>
      </x:c>
      <x:c r="E73" s="15" t="s">
        <x:v>139</x:v>
      </x:c>
    </x:row>
    <x:row r="75">
      <x:c r="B75" s="69" t="s">
        <x:v>140</x:v>
      </x:c>
      <x:c r="C75" s="62"/>
      <x:c r="D75" s="62"/>
      <x:c r="E75" s="62"/>
    </x:row>
  </x:sheetData>
  <x:mergeCells>
    <x:mergeCell ref="B5:E5"/>
    <x:mergeCell ref="B2:E2"/>
    <x:mergeCell ref="B32:E32"/>
    <x:mergeCell ref="B20:E20"/>
    <x:mergeCell ref="B41:E41"/>
    <x:mergeCell ref="B65:E65"/>
    <x:mergeCell ref="B75:E75"/>
    <x:mergeCell ref="B58:E58"/>
    <x:mergeCell ref="B70:E7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40" customWidth="1"/>
    <x:col min="3" max="3" width="17" customWidth="1"/>
    <x:col min="4" max="4" width="12" customWidth="1"/>
    <x:col min="5" max="5" width="34" customWidth="1"/>
    <x:col min="6" max="6" width="42" customWidth="1"/>
  </x:cols>
  <x:sheetData>
    <x:row r="1" ht="15" customHeight="1"/>
    <x:row r="2" ht="31.950000762939453" customHeight="1">
      <x:c r="B2" s="63" t="s">
        <x:v>141</x:v>
      </x:c>
      <x:c r="C2" s="62"/>
      <x:c r="D2" s="62"/>
      <x:c r="E2" s="62"/>
      <x:c r="F2" s="62"/>
    </x:row>
    <x:row r="3" ht="7.949999809265137" customHeight="1"/>
    <x:row r="4" ht="28.049999237060547" customHeight="1">
      <x:c r="B4" s="12" t="s">
        <x:v>142</x:v>
      </x:c>
      <x:c r="C4" s="12" t="s">
        <x:v>19</x:v>
      </x:c>
      <x:c r="D4" s="12" t="s">
        <x:v>143</x:v>
      </x:c>
      <x:c r="E4" s="12" t="s">
        <x:v>144</x:v>
      </x:c>
      <x:c r="F4" s="12" t="s">
        <x:v>145</x:v>
      </x:c>
    </x:row>
    <x:row r="5" ht="24" customHeight="1">
      <x:c r="B5" s="68" t="s">
        <x:v>146</x:v>
      </x:c>
      <x:c r="C5" s="62"/>
      <x:c r="D5" s="62"/>
      <x:c r="E5" s="62"/>
      <x:c r="F5" s="62"/>
    </x:row>
    <x:row r="6" ht="22.049999237060547" customHeight="1">
      <x:c r="B6" s="6" t="s">
        <x:v>147</x:v>
      </x:c>
      <x:c r="C6" s="33" t="s">
        <x:v>148</x:v>
      </x:c>
      <x:c r="D6" s="33" t="s">
        <x:v>24</x:v>
      </x:c>
      <x:c r="E6" s="6" t="s">
        <x:v>149</x:v>
      </x:c>
      <x:c r="F6" s="6" t="s">
        <x:v>150</x:v>
      </x:c>
    </x:row>
    <x:row r="7" ht="22.049999237060547" customHeight="1">
      <x:c r="B7" s="8" t="s">
        <x:v>151</x:v>
      </x:c>
      <x:c r="C7" s="34" t="s">
        <x:v>152</x:v>
      </x:c>
      <x:c r="D7" s="34" t="s">
        <x:v>24</x:v>
      </x:c>
      <x:c r="E7" s="8" t="s">
        <x:v>153</x:v>
      </x:c>
      <x:c r="F7" s="8" t="s">
        <x:v>154</x:v>
      </x:c>
    </x:row>
    <x:row r="8" ht="37.95000076293945" customHeight="1">
      <x:c r="B8" s="6" t="s">
        <x:v>155</x:v>
      </x:c>
      <x:c r="C8" s="33" t="s">
        <x:v>156</x:v>
      </x:c>
      <x:c r="D8" s="33" t="s">
        <x:v>24</x:v>
      </x:c>
      <x:c r="E8" s="6" t="s">
        <x:v>27</x:v>
      </x:c>
      <x:c r="F8" s="6" t="s">
        <x:v>157</x:v>
      </x:c>
    </x:row>
    <x:row r="9" ht="37.95000076293945" customHeight="1">
      <x:c r="B9" s="8" t="s">
        <x:v>158</x:v>
      </x:c>
      <x:c r="C9" s="34" t="s">
        <x:v>159</x:v>
      </x:c>
      <x:c r="D9" s="34" t="s">
        <x:v>70</x:v>
      </x:c>
      <x:c r="E9" s="8" t="s">
        <x:v>160</x:v>
      </x:c>
      <x:c r="F9" s="8" t="s">
        <x:v>161</x:v>
      </x:c>
    </x:row>
    <x:row r="10" ht="22.049999237060547" customHeight="1">
      <x:c r="B10" s="6" t="s">
        <x:v>162</x:v>
      </x:c>
      <x:c r="C10" s="33" t="s">
        <x:v>163</x:v>
      </x:c>
      <x:c r="D10" s="33" t="s">
        <x:v>70</x:v>
      </x:c>
      <x:c r="E10" s="6" t="s">
        <x:v>164</x:v>
      </x:c>
      <x:c r="F10" s="6" t="s">
        <x:v>165</x:v>
      </x:c>
    </x:row>
    <x:row r="11" ht="37.95000076293945" customHeight="1">
      <x:c r="B11" s="8" t="s">
        <x:v>166</x:v>
      </x:c>
      <x:c r="C11" s="34" t="s">
        <x:v>167</x:v>
      </x:c>
      <x:c r="D11" s="34" t="s">
        <x:v>168</x:v>
      </x:c>
      <x:c r="E11" s="8" t="s">
        <x:v>169</x:v>
      </x:c>
      <x:c r="F11" s="8" t="s">
        <x:v>170</x:v>
      </x:c>
    </x:row>
    <x:row r="12" ht="24" customHeight="1">
      <x:c r="B12" s="68" t="s">
        <x:v>171</x:v>
      </x:c>
      <x:c r="C12" s="62"/>
      <x:c r="D12" s="62"/>
      <x:c r="E12" s="62"/>
      <x:c r="F12" s="62"/>
    </x:row>
    <x:row r="13" ht="37.95000076293945" customHeight="1">
      <x:c r="B13" s="6" t="s">
        <x:v>172</x:v>
      </x:c>
      <x:c r="C13" s="33" t="s">
        <x:v>173</x:v>
      </x:c>
      <x:c r="D13" s="33" t="s">
        <x:v>174</x:v>
      </x:c>
      <x:c r="E13" s="6" t="s">
        <x:v>175</x:v>
      </x:c>
      <x:c r="F13" s="6" t="s">
        <x:v>176</x:v>
      </x:c>
    </x:row>
    <x:row r="14" ht="22.049999237060547" customHeight="1">
      <x:c r="B14" s="8" t="s">
        <x:v>177</x:v>
      </x:c>
      <x:c r="C14" s="34" t="s">
        <x:v>178</x:v>
      </x:c>
      <x:c r="D14" s="34" t="s">
        <x:v>37</x:v>
      </x:c>
      <x:c r="E14" s="8" t="s">
        <x:v>179</x:v>
      </x:c>
      <x:c r="F14" s="8" t="s">
        <x:v>180</x:v>
      </x:c>
    </x:row>
    <x:row r="15" ht="37.95000076293945" customHeight="1">
      <x:c r="B15" s="6" t="s">
        <x:v>181</x:v>
      </x:c>
      <x:c r="C15" s="33" t="s">
        <x:v>182</x:v>
      </x:c>
      <x:c r="D15" s="33" t="s">
        <x:v>174</x:v>
      </x:c>
      <x:c r="E15" s="6" t="s">
        <x:v>183</x:v>
      </x:c>
      <x:c r="F15" s="6" t="s">
        <x:v>184</x:v>
      </x:c>
    </x:row>
    <x:row r="16" ht="37.95000076293945" customHeight="1">
      <x:c r="B16" s="8" t="s">
        <x:v>185</x:v>
      </x:c>
      <x:c r="C16" s="34" t="s">
        <x:v>186</x:v>
      </x:c>
      <x:c r="D16" s="34" t="s">
        <x:v>40</x:v>
      </x:c>
      <x:c r="E16" s="8" t="s">
        <x:v>187</x:v>
      </x:c>
      <x:c r="F16" s="8" t="s">
        <x:v>188</x:v>
      </x:c>
    </x:row>
    <x:row r="17" ht="22.049999237060547" customHeight="1">
      <x:c r="B17" s="6" t="s">
        <x:v>189</x:v>
      </x:c>
      <x:c r="C17" s="33" t="s">
        <x:v>190</x:v>
      </x:c>
      <x:c r="D17" s="33" t="s">
        <x:v>43</x:v>
      </x:c>
      <x:c r="E17" s="6" t="s">
        <x:v>191</x:v>
      </x:c>
      <x:c r="F17" s="6" t="s">
        <x:v>192</x:v>
      </x:c>
    </x:row>
    <x:row r="18" ht="24" customHeight="1">
      <x:c r="B18" s="68" t="s">
        <x:v>193</x:v>
      </x:c>
      <x:c r="C18" s="62"/>
      <x:c r="D18" s="62"/>
      <x:c r="E18" s="62"/>
      <x:c r="F18" s="62"/>
    </x:row>
    <x:row r="19" ht="37.95000076293945" customHeight="1">
      <x:c r="B19" s="6" t="s">
        <x:v>194</x:v>
      </x:c>
      <x:c r="C19" s="33" t="s">
        <x:v>195</x:v>
      </x:c>
      <x:c r="D19" s="33" t="s">
        <x:v>37</x:v>
      </x:c>
      <x:c r="E19" s="6" t="s">
        <x:v>196</x:v>
      </x:c>
      <x:c r="F19" s="6" t="s">
        <x:v>197</x:v>
      </x:c>
    </x:row>
    <x:row r="20" ht="37.95000076293945" customHeight="1">
      <x:c r="B20" s="8" t="s">
        <x:v>198</x:v>
      </x:c>
      <x:c r="C20" s="34" t="s">
        <x:v>199</x:v>
      </x:c>
      <x:c r="D20" s="34" t="s">
        <x:v>200</x:v>
      </x:c>
      <x:c r="E20" s="8" t="s">
        <x:v>201</x:v>
      </x:c>
      <x:c r="F20" s="8" t="s">
        <x:v>202</x:v>
      </x:c>
    </x:row>
    <x:row r="21" ht="37.95000076293945" customHeight="1">
      <x:c r="B21" s="6" t="s">
        <x:v>203</x:v>
      </x:c>
      <x:c r="C21" s="33" t="s">
        <x:v>204</x:v>
      </x:c>
      <x:c r="D21" s="33" t="s">
        <x:v>37</x:v>
      </x:c>
      <x:c r="E21" s="6" t="s">
        <x:v>205</x:v>
      </x:c>
      <x:c r="F21" s="6" t="s">
        <x:v>206</x:v>
      </x:c>
    </x:row>
    <x:row r="22" ht="37.95000076293945" customHeight="1">
      <x:c r="B22" s="8" t="s">
        <x:v>207</x:v>
      </x:c>
      <x:c r="C22" s="34" t="s">
        <x:v>208</x:v>
      </x:c>
      <x:c r="D22" s="34" t="s">
        <x:v>209</x:v>
      </x:c>
      <x:c r="E22" s="8" t="s">
        <x:v>52</x:v>
      </x:c>
      <x:c r="F22" s="8" t="s">
        <x:v>210</x:v>
      </x:c>
    </x:row>
    <x:row r="23" ht="37.95000076293945" customHeight="1">
      <x:c r="B23" s="6" t="s">
        <x:v>211</x:v>
      </x:c>
      <x:c r="C23" s="33" t="s">
        <x:v>212</x:v>
      </x:c>
      <x:c r="D23" s="33" t="s">
        <x:v>37</x:v>
      </x:c>
      <x:c r="E23" s="6" t="s">
        <x:v>213</x:v>
      </x:c>
      <x:c r="F23" s="6" t="s">
        <x:v>214</x:v>
      </x:c>
    </x:row>
    <x:row r="24" ht="37.95000076293945" customHeight="1">
      <x:c r="B24" s="8" t="s">
        <x:v>215</x:v>
      </x:c>
      <x:c r="C24" s="34" t="s">
        <x:v>216</x:v>
      </x:c>
      <x:c r="D24" s="34" t="s">
        <x:v>37</x:v>
      </x:c>
      <x:c r="E24" s="8" t="s">
        <x:v>52</x:v>
      </x:c>
      <x:c r="F24" s="8" t="s">
        <x:v>217</x:v>
      </x:c>
    </x:row>
    <x:row r="25" ht="37.95000076293945" customHeight="1">
      <x:c r="B25" s="6" t="s">
        <x:v>218</x:v>
      </x:c>
      <x:c r="C25" s="33" t="s">
        <x:v>219</x:v>
      </x:c>
      <x:c r="D25" s="33" t="s">
        <x:v>37</x:v>
      </x:c>
      <x:c r="E25" s="6" t="s">
        <x:v>220</x:v>
      </x:c>
      <x:c r="F25" s="6" t="s">
        <x:v>221</x:v>
      </x:c>
    </x:row>
    <x:row r="26" ht="24" customHeight="1">
      <x:c r="B26" s="68" t="s">
        <x:v>222</x:v>
      </x:c>
      <x:c r="C26" s="62"/>
      <x:c r="D26" s="62"/>
      <x:c r="E26" s="62"/>
      <x:c r="F26" s="62"/>
    </x:row>
    <x:row r="27" ht="22.049999237060547" customHeight="1">
      <x:c r="B27" s="6" t="s">
        <x:v>223</x:v>
      </x:c>
      <x:c r="C27" s="33" t="s">
        <x:v>224</x:v>
      </x:c>
      <x:c r="D27" s="33" t="s">
        <x:v>37</x:v>
      </x:c>
      <x:c r="E27" s="6" t="s">
        <x:v>225</x:v>
      </x:c>
      <x:c r="F27" s="6" t="s">
        <x:v>226</x:v>
      </x:c>
    </x:row>
    <x:row r="28" ht="22.049999237060547" customHeight="1">
      <x:c r="B28" s="8" t="s">
        <x:v>227</x:v>
      </x:c>
      <x:c r="C28" s="34" t="s">
        <x:v>228</x:v>
      </x:c>
      <x:c r="D28" s="34" t="s">
        <x:v>229</x:v>
      </x:c>
      <x:c r="E28" s="8" t="s">
        <x:v>230</x:v>
      </x:c>
      <x:c r="F28" s="8" t="s">
        <x:v>231</x:v>
      </x:c>
    </x:row>
    <x:row r="29" ht="24" customHeight="1">
      <x:c r="B29" s="68" t="s">
        <x:v>232</x:v>
      </x:c>
      <x:c r="C29" s="62"/>
      <x:c r="D29" s="62"/>
      <x:c r="E29" s="62"/>
      <x:c r="F29" s="62"/>
    </x:row>
    <x:row r="30" ht="37.95000076293945" customHeight="1">
      <x:c r="B30" s="6" t="s">
        <x:v>233</x:v>
      </x:c>
      <x:c r="C30" s="33" t="s">
        <x:v>234</x:v>
      </x:c>
      <x:c r="D30" s="33" t="s">
        <x:v>83</x:v>
      </x:c>
      <x:c r="E30" s="6" t="s">
        <x:v>235</x:v>
      </x:c>
      <x:c r="F30" s="6" t="s">
        <x:v>236</x:v>
      </x:c>
    </x:row>
  </x:sheetData>
  <x:mergeCells>
    <x:mergeCell ref="B12:F12"/>
    <x:mergeCell ref="B29:F29"/>
    <x:mergeCell ref="B2:F2"/>
    <x:mergeCell ref="B5:F5"/>
    <x:mergeCell ref="B26:F26"/>
    <x:mergeCell ref="B18:F1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28" customWidth="1"/>
    <x:col min="3" max="3" width="12" customWidth="1"/>
    <x:col min="4" max="4" width="46" customWidth="1"/>
    <x:col min="5" max="5" width="26" customWidth="1"/>
    <x:col min="6" max="6" width="40" customWidth="1"/>
  </x:cols>
  <x:sheetData>
    <x:row r="1" ht="15" customHeight="1"/>
    <x:row r="2" ht="31.950000762939453" customHeight="1">
      <x:c r="B2" s="63" t="str">
        <x:v>Тарифы COMIT: действующая политика и прогноз</x:v>
      </x:c>
      <x:c r="C2" s="62"/>
      <x:c r="D2" s="62"/>
      <x:c r="E2" s="62"/>
      <x:c r="F2" s="62"/>
    </x:row>
    <x:row r="3" ht="7.949999809265137" customHeight="1"/>
    <x:row r="4" ht="28.049999237060547" customHeight="1">
      <x:c r="B4" s="12" t="s">
        <x:v>237</x:v>
      </x:c>
      <x:c r="C4" s="12" t="s">
        <x:v>238</x:v>
      </x:c>
      <x:c r="D4" s="12" t="s">
        <x:v>239</x:v>
      </x:c>
      <x:c r="E4" s="12" t="s">
        <x:v>240</x:v>
      </x:c>
      <x:c r="F4" s="12" t="s">
        <x:v>241</x:v>
      </x:c>
    </x:row>
    <x:row r="5" ht="54" customHeight="1">
      <x:c r="B5" s="6" t="str">
        <x:v>Триал «Первый найм» (прогноз)</x:v>
      </x:c>
      <x:c r="C5" s="24" t="n">
        <x:f>0</x:f>
        <x:v>0</x:v>
      </x:c>
      <x:c r="D5" s="6" t="s">
        <x:v>242</x:v>
      </x:c>
      <x:c r="E5" s="6" t="s">
        <x:v>243</x:v>
      </x:c>
      <x:c r="F5" s="6" t="s">
        <x:v>244</x:v>
      </x:c>
    </x:row>
    <x:row r="6" ht="37.95000076293945" customHeight="1">
      <x:c r="B6" s="8" t="s">
        <x:v>245</x:v>
      </x:c>
      <x:c r="C6" s="35" t="n">
        <x:f>VAC_FIRST</x:f>
        <x:v>398</x:v>
      </x:c>
      <x:c r="D6" s="8" t="str">
        <x:v>398 ₽ за новый черновик; повтор события того же черновика без начисления</x:v>
      </x:c>
      <x:c r="E6" s="8" t="s">
        <x:v>246</x:v>
      </x:c>
      <x:c r="F6" s="8" t="str">
        <x:v>Единая ставка 398 ₽; отдельной цены повторной публикации нет</x:v>
      </x:c>
    </x:row>
    <x:row r="7" ht="37.95000076293945" customHeight="1">
      <x:c r="B7" s="6" t="str">
        <x:v>Подписка «Старт» (прогноз)</x:v>
      </x:c>
      <x:c r="C7" s="24" t="n">
        <x:f>SUB_START</x:f>
        <x:v>9900</x:v>
      </x:c>
      <x:c r="D7" s="6" t="s">
        <x:v>247</x:v>
      </x:c>
      <x:c r="E7" s="6" t="s">
        <x:v>248</x:v>
      </x:c>
      <x:c r="F7" s="6" t="s">
        <x:v>249</x:v>
      </x:c>
    </x:row>
    <x:row r="8" ht="54" customHeight="1">
      <x:c r="B8" s="8" t="str">
        <x:v>Подписка «Бизнес» (прогноз)</x:v>
      </x:c>
      <x:c r="C8" s="35" t="n">
        <x:f>SUB_BIZ</x:f>
        <x:v>29900</x:v>
      </x:c>
      <x:c r="D8" s="8" t="s">
        <x:v>250</x:v>
      </x:c>
      <x:c r="E8" s="8" t="s">
        <x:v>248</x:v>
      </x:c>
      <x:c r="F8" s="8" t="s">
        <x:v>251</x:v>
      </x:c>
    </x:row>
    <x:row r="9" ht="37.95000076293945" customHeight="1">
      <x:c r="B9" s="6" t="str">
        <x:v>Приглашение: полный цикл</x:v>
      </x:c>
      <x:c r="C9" s="24" t="n">
        <x:f>INV_PRICE</x:f>
        <x:v>196</x:v>
      </x:c>
      <x:c r="D9" s="6" t="str">
        <x:v>49 ₽ за отправку + 147 ₽ после принятия</x:v>
      </x:c>
      <x:c r="E9" s="6" t="s">
        <x:v>174</x:v>
      </x:c>
      <x:c r="F9" s="6" t="s">
        <x:v>252</x:v>
      </x:c>
    </x:row>
    <x:row r="10" ht="37.95000076293945" customHeight="1">
      <x:c r="B10" s="8" t="s">
        <x:v>57</x:v>
      </x:c>
      <x:c r="C10" s="35" t="n">
        <x:f>FINE</x:f>
        <x:v>398</x:v>
      </x:c>
      <x:c r="D10" s="8" t="s">
        <x:v>253</x:v>
      </x:c>
      <x:c r="E10" s="8" t="str">
        <x:v>398 ₽ с работодателя при учитываемой просрочке / решении поддержки</x:v>
      </x:c>
      <x:c r="F10" s="8" t="s">
        <x:v>254</x:v>
      </x:c>
    </x:row>
    <x:row r="11" ht="22.049999237060547" customHeight="1"/>
    <x:row r="12" ht="22.049999237060547" customHeight="1">
      <x:c r="B12" s="69" t="str">
        <x:v>PAYG реализован как учёт расходов. Подписки и триал — план. Оплата/эквайринг отдельно не подтверждены.</x:v>
      </x:c>
      <x:c r="C12" s="62"/>
      <x:c r="D12" s="62"/>
      <x:c r="E12" s="62"/>
      <x:c r="F12" s="62"/>
    </x:row>
  </x:sheetData>
  <x:mergeCells>
    <x:mergeCell ref="B2:F2"/>
    <x:mergeCell ref="B12:F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34" customWidth="1"/>
    <x:col min="3" max="3" width="15" customWidth="1"/>
    <x:col min="4" max="4" width="9" customWidth="1"/>
    <x:col min="5" max="5" width="15" customWidth="1"/>
    <x:col min="6" max="6" width="14" customWidth="1"/>
    <x:col min="7" max="7" width="12" customWidth="1"/>
    <x:col min="8" max="8" width="46" customWidth="1"/>
    <x:col min="10" max="10" width="20" customWidth="1"/>
    <x:col min="11" max="11" width="12" customWidth="1"/>
  </x:cols>
  <x:sheetData>
    <x:row r="1" ht="15" customHeight="1"/>
    <x:row r="2" ht="31.950000762939453" customHeight="1">
      <x:c r="B2" s="63" t="str">
        <x:v>Модельные затраты работодателя на один найм</x:v>
      </x:c>
      <x:c r="C2" s="62"/>
      <x:c r="D2" s="62"/>
      <x:c r="E2" s="62"/>
      <x:c r="F2" s="62"/>
      <x:c r="G2" s="62"/>
      <x:c r="H2" s="62"/>
    </x:row>
    <x:row r="3" ht="7.949999809265137" customHeight="1"/>
    <x:row r="4" ht="54" customHeight="1">
      <x:c r="B4" s="12" t="s">
        <x:v>255</x:v>
      </x:c>
      <x:c r="C4" s="12" t="s">
        <x:v>256</x:v>
      </x:c>
      <x:c r="D4" s="12" t="s">
        <x:v>257</x:v>
      </x:c>
      <x:c r="E4" s="12" t="s">
        <x:v>258</x:v>
      </x:c>
      <x:c r="F4" s="12" t="s">
        <x:v>259</x:v>
      </x:c>
      <x:c r="G4" s="12" t="s">
        <x:v>260</x:v>
      </x:c>
      <x:c r="H4" s="12" t="s">
        <x:v>145</x:v>
      </x:c>
      <x:c r="J4" s="10" t="s">
        <x:v>261</x:v>
      </x:c>
      <x:c r="K4" s="10" t="s">
        <x:v>262</x:v>
      </x:c>
    </x:row>
    <x:row r="5" ht="37.95000076293945" customHeight="1">
      <x:c r="B5" s="6" t="s">
        <x:v>263</x:v>
      </x:c>
      <x:c r="C5" s="24" t="n">
        <x:f>VAC_FIRST+INV_PER_HIRE*INV_PRICE</x:f>
        <x:v>3926</x:v>
      </x:c>
      <x:c r="D5" s="36" t="n">
        <x:f>HR_HRS_COMIT</x:f>
        <x:v>3</x:v>
      </x:c>
      <x:c r="E5" s="24" t="n">
        <x:f t="shared" ref="E5" si="0">D5*HR_RATE</x:f>
        <x:v>3000</x:v>
      </x:c>
      <x:c r="F5" s="24" t="n">
        <x:f t="shared" ref="F5" si="1">C5+E5</x:f>
        <x:v>6926</x:v>
      </x:c>
      <x:c r="G5" s="37">
        <x:v>0.75</x:v>
      </x:c>
      <x:c r="H5" s="15" t="str">
        <x:v>398 ₽ + 18 × (49 + 147) ₽; все приглашения приняты (допущение)</x:v>
      </x:c>
      <x:c r="J5" s="10" t="s">
        <x:v>264</x:v>
      </x:c>
      <x:c r="K5" s="11" t="n">
        <x:f>F5</x:f>
        <x:v>6926</x:v>
      </x:c>
    </x:row>
    <x:row r="6" ht="37.95000076293945" customHeight="1">
      <x:c r="B6" s="8" t="s">
        <x:v>265</x:v>
      </x:c>
      <x:c r="C6" s="35" t="n">
        <x:f>SUB_START/2</x:f>
        <x:v>4950</x:v>
      </x:c>
      <x:c r="D6" s="38" t="n">
        <x:f>HR_HRS_COMIT</x:f>
        <x:v>3</x:v>
      </x:c>
      <x:c r="E6" s="24" t="n">
        <x:f>D6*HR_RATE</x:f>
        <x:v>3000</x:v>
      </x:c>
      <x:c r="F6" s="24" t="n">
        <x:f>C6+E6</x:f>
        <x:v>7950</x:v>
      </x:c>
      <x:c r="G6" s="21">
        <x:v>0.75</x:v>
      </x:c>
      <x:c r="H6" s="18" t="s">
        <x:v>266</x:v>
      </x:c>
      <x:c r="J6" s="10" t="s">
        <x:v>267</x:v>
      </x:c>
      <x:c r="K6" s="11" t="n">
        <x:f>F6</x:f>
        <x:v>7950</x:v>
      </x:c>
    </x:row>
    <x:row r="7" ht="37.95000076293945" customHeight="1">
      <x:c r="B7" s="6" t="s">
        <x:v>268</x:v>
      </x:c>
      <x:c r="C7" s="24" t="n">
        <x:f>2*HH_VAC+HH_DB</x:f>
        <x:v>23680</x:v>
      </x:c>
      <x:c r="D7" s="36" t="n">
        <x:f>HR_HRS</x:f>
        <x:v>80</x:v>
      </x:c>
      <x:c r="E7" s="24" t="n">
        <x:f>D7*HR_RATE</x:f>
        <x:v>80000</x:v>
      </x:c>
      <x:c r="F7" s="24" t="n">
        <x:f>C7+E7</x:f>
        <x:v>103680</x:v>
      </x:c>
      <x:c r="G7" s="39" t="n">
        <x:f>TTH_MKT</x:f>
        <x:v>1.75</x:v>
      </x:c>
      <x:c r="H7" s="15" t="s">
        <x:v>269</x:v>
      </x:c>
      <x:c r="J7" s="10" t="s">
        <x:v>270</x:v>
      </x:c>
      <x:c r="K7" s="11" t="n">
        <x:f>F7</x:f>
        <x:v>103680</x:v>
      </x:c>
    </x:row>
    <x:row r="8" ht="22.049999237060547" customHeight="1">
      <x:c r="B8" s="8" t="s">
        <x:v>271</x:v>
      </x:c>
      <x:c r="C8" s="35" t="n">
        <x:f>HABR_VAC+1220</x:f>
        <x:v>5246</x:v>
      </x:c>
      <x:c r="D8" s="28">
        <x:v>70</x:v>
      </x:c>
      <x:c r="E8" s="24" t="n">
        <x:f>D8*HR_RATE</x:f>
        <x:v>70000</x:v>
      </x:c>
      <x:c r="F8" s="24" t="n">
        <x:f>C8+E8</x:f>
        <x:v>75246</x:v>
      </x:c>
      <x:c r="G8" s="40" t="n">
        <x:f>TTH_MKT</x:f>
        <x:v>1.75</x:v>
      </x:c>
      <x:c r="H8" s="18" t="s">
        <x:v>272</x:v>
      </x:c>
      <x:c r="J8" s="10" t="s">
        <x:v>271</x:v>
      </x:c>
      <x:c r="K8" s="11" t="n">
        <x:f>F8</x:f>
        <x:v>75246</x:v>
      </x:c>
    </x:row>
    <x:row r="9" ht="22.049999237060547" customHeight="1">
      <x:c r="B9" s="6" t="s">
        <x:v>273</x:v>
      </x:c>
      <x:c r="C9" s="24" t="n">
        <x:f>AGENCY_FEE*SAL_MEDIAN*12</x:f>
        <x:v>438480</x:v>
      </x:c>
      <x:c r="D9" s="22">
        <x:v>10</x:v>
      </x:c>
      <x:c r="E9" s="24" t="n">
        <x:f>D9*HR_RATE</x:f>
        <x:v>10000</x:v>
      </x:c>
      <x:c r="F9" s="24" t="n">
        <x:f>C9+E9</x:f>
        <x:v>448480</x:v>
      </x:c>
      <x:c r="G9" s="37">
        <x:v>1.5</x:v>
      </x:c>
      <x:c r="H9" s="15" t="s">
        <x:v>274</x:v>
      </x:c>
      <x:c r="J9" s="10" t="s">
        <x:v>275</x:v>
      </x:c>
      <x:c r="K9" s="11" t="n">
        <x:f>F9</x:f>
        <x:v>448480</x:v>
      </x:c>
    </x:row>
    <x:row r="10" ht="37.95000076293945" customHeight="1">
      <x:c r="B10" s="8" t="s">
        <x:v>276</x:v>
      </x:c>
      <x:c r="C10" s="35" t="n">
        <x:f>CPH_MKT*SAL_MEDIAN*12</x:f>
        <x:v>548100</x:v>
      </x:c>
      <x:c r="D10" s="28">
        <x:v>0</x:v>
      </x:c>
      <x:c r="E10" s="24" t="n">
        <x:f>D10*HR_RATE</x:f>
        <x:v>0</x:v>
      </x:c>
      <x:c r="F10" s="24" t="n">
        <x:f>C10+E10</x:f>
        <x:v>548100</x:v>
      </x:c>
      <x:c r="G10" s="40" t="n">
        <x:f>TTH_MKT</x:f>
        <x:v>1.75</x:v>
      </x:c>
      <x:c r="H10" s="18" t="s">
        <x:v>277</x:v>
      </x:c>
      <x:c r="J10" s="10" t="s">
        <x:v>278</x:v>
      </x:c>
      <x:c r="K10" s="11" t="n">
        <x:f>F10</x:f>
        <x:v>548100</x:v>
      </x:c>
    </x:row>
    <x:row r="11" ht="22.049999237060547" customHeight="1">
      <x:c r="B11" s="6" t="s">
        <x:v>279</x:v>
      </x:c>
      <x:c r="C11" s="24" t="n">
        <x:f>169000*TTH_MKT</x:f>
        <x:v>295750</x:v>
      </x:c>
      <x:c r="D11" s="22">
        <x:v>0</x:v>
      </x:c>
      <x:c r="E11" s="24" t="n">
        <x:f>D11*HR_RATE</x:f>
        <x:v>0</x:v>
      </x:c>
      <x:c r="F11" s="24" t="n">
        <x:f>C11+E11</x:f>
        <x:v>295750</x:v>
      </x:c>
      <x:c r="G11" s="39" t="n">
        <x:f>TTH_MKT</x:f>
        <x:v>1.75</x:v>
      </x:c>
      <x:c r="H11" s="15" t="s">
        <x:v>280</x:v>
      </x:c>
      <x:c r="J11" s="10" t="s">
        <x:v>279</x:v>
      </x:c>
      <x:c r="K11" s="11" t="n">
        <x:f>F11</x:f>
        <x:v>295750</x:v>
      </x:c>
    </x:row>
    <x:row r="12" ht="22.049999237060547" customHeight="1"/>
    <x:row r="13" ht="22.049999237060547" customHeight="1">
      <x:c r="B13" s="41" t="s">
        <x:v>281</x:v>
      </x:c>
      <x:c r="C13" s="7"/>
      <x:c r="D13" s="7"/>
      <x:c r="E13" s="7"/>
      <x:c r="F13" s="24" t="n">
        <x:f>F9-F5</x:f>
        <x:v>441554</x:v>
      </x:c>
      <x:c r="G13" s="26" t="n">
        <x:f>1-F5/F9</x:f>
        <x:v>0.9845567249375669</x:v>
      </x:c>
      <x:c r="H13" s="7"/>
    </x:row>
    <x:row r="14" ht="22.049999237060547" customHeight="1">
      <x:c r="B14" s="42" t="s">
        <x:v>282</x:v>
      </x:c>
      <x:c r="C14" s="9"/>
      <x:c r="D14" s="9"/>
      <x:c r="E14" s="9"/>
      <x:c r="F14" s="35" t="n">
        <x:f>F10-F5</x:f>
        <x:v>541174</x:v>
      </x:c>
      <x:c r="G14" s="43" t="n">
        <x:f>1-F5/F10</x:f>
        <x:v>0.9873636197774128</x:v>
      </x:c>
      <x:c r="H14" s="9"/>
    </x:row>
    <x:row r="15" ht="22.049999237060547" customHeight="1"/>
    <x:row r="16" ht="22.049999237060547" customHeight="1">
      <x:c r="B16" s="69" t="str">
        <x:v>Допущения: COMIT — 3 ч HR, рынок — 80 ч; все 18 приглашений приняты. Это сценарий, не пользовательский замер.</x:v>
      </x:c>
      <x:c r="C16" s="62"/>
      <x:c r="D16" s="62"/>
      <x:c r="E16" s="62"/>
      <x:c r="F16" s="62"/>
      <x:c r="G16" s="62"/>
      <x:c r="H16" s="62"/>
    </x:row>
  </x:sheetData>
  <x:mergeCells>
    <x:mergeCell ref="B16:H16"/>
    <x:mergeCell ref="B2:H2"/>
  </x:mergeCells>
  <x:pageMargins left="0.7" right="0.7" top="0.75" bottom="0.75" header="0.3" footer="0.3"/>
  <x:drawing xmlns:r="http://schemas.openxmlformats.org/officeDocument/2006/relationships" r:id="rId1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40" customWidth="1"/>
    <x:col min="3" max="3" width="16" customWidth="1"/>
    <x:col min="4" max="4" width="58" customWidth="1"/>
  </x:cols>
  <x:sheetData>
    <x:row r="1" ht="15" customHeight="1"/>
    <x:row r="2" ht="31.950000762939453" customHeight="1">
      <x:c r="B2" s="63" t="str">
        <x:v>Триал для работодателя: проект и прогноз экономики</x:v>
      </x:c>
      <x:c r="C2" s="62"/>
      <x:c r="D2" s="62"/>
    </x:row>
    <x:row r="3" ht="7.949999809265137" customHeight="1"/>
    <x:row r="4" ht="24" customHeight="1">
      <x:c r="B4" s="68" t="s">
        <x:v>283</x:v>
      </x:c>
      <x:c r="C4" s="62"/>
      <x:c r="D4" s="62"/>
    </x:row>
    <x:row r="5">
      <x:c r="B5" s="6" t="s">
        <x:v>284</x:v>
      </x:c>
      <x:c r="C5" s="64" t="s">
        <x:v>285</x:v>
      </x:c>
      <x:c r="D5" s="65"/>
    </x:row>
    <x:row r="6">
      <x:c r="B6" s="8" t="s">
        <x:v>239</x:v>
      </x:c>
      <x:c r="C6" s="66" t="s">
        <x:v>286</x:v>
      </x:c>
      <x:c r="D6" s="67"/>
    </x:row>
    <x:row r="7">
      <x:c r="B7" s="6" t="s">
        <x:v>287</x:v>
      </x:c>
      <x:c r="C7" s="64" t="s">
        <x:v>288</x:v>
      </x:c>
      <x:c r="D7" s="65"/>
    </x:row>
    <x:row r="8">
      <x:c r="B8" s="8" t="s">
        <x:v>289</x:v>
      </x:c>
      <x:c r="C8" s="66" t="s">
        <x:v>290</x:v>
      </x:c>
      <x:c r="D8" s="67"/>
    </x:row>
    <x:row r="9">
      <x:c r="B9" s="6" t="s">
        <x:v>291</x:v>
      </x:c>
      <x:c r="C9" s="64" t="str">
        <x:v>Проект условия: просмотр после 14 дней; апселл к PAYG / подписке</x:v>
      </x:c>
      <x:c r="D9" s="65"/>
    </x:row>
    <x:row r="10">
      <x:c r="B10" s="8" t="s">
        <x:v>292</x:v>
      </x:c>
      <x:c r="C10" s="66" t="s">
        <x:v>293</x:v>
      </x:c>
      <x:c r="D10" s="67"/>
    </x:row>
    <x:row r="12" ht="24" customHeight="1">
      <x:c r="B12" s="68" t="s">
        <x:v>294</x:v>
      </x:c>
      <x:c r="C12" s="62"/>
      <x:c r="D12" s="62"/>
    </x:row>
    <x:row r="13" ht="28.049999237060547" customHeight="1">
      <x:c r="B13" s="12" t="s">
        <x:v>142</x:v>
      </x:c>
      <x:c r="C13" s="12" t="s">
        <x:v>19</x:v>
      </x:c>
      <x:c r="D13" s="12" t="s">
        <x:v>295</x:v>
      </x:c>
    </x:row>
    <x:row r="14" ht="37.95000076293945" customHeight="1">
      <x:c r="B14" s="6" t="s">
        <x:v>296</x:v>
      </x:c>
      <x:c r="C14" s="32" t="n">
        <x:f>(LLM_VAC+10*LLM_INV+2*LLM_CHAT)*LLM_BUF+SUPPORT_TRIAL+INFRA_PER_EMP</x:f>
        <x:v>267.26</x:v>
      </x:c>
      <x:c r="D14" s="15" t="s">
        <x:v>297</x:v>
      </x:c>
    </x:row>
    <x:row r="15" ht="37.95000076293945" customHeight="1">
      <x:c r="B15" s="8" t="s">
        <x:v>298</x:v>
      </x:c>
      <x:c r="C15" s="35" t="n">
        <x:f>HABR_VAC+10*0.5*HR_RATE</x:f>
        <x:v>9026</x:v>
      </x:c>
      <x:c r="D15" s="18" t="s">
        <x:v>299</x:v>
      </x:c>
    </x:row>
    <x:row r="16" ht="37.95000076293945" customHeight="1">
      <x:c r="B16" s="6" t="s">
        <x:v>300</x:v>
      </x:c>
      <x:c r="C16" s="24" t="n">
        <x:f>HH_DB</x:f>
        <x:v>22080</x:v>
      </x:c>
      <x:c r="D16" s="15" t="s">
        <x:v>301</x:v>
      </x:c>
    </x:row>
    <x:row r="17" ht="22.049999237060547" customHeight="1">
      <x:c r="B17" s="8" t="s">
        <x:v>117</x:v>
      </x:c>
      <x:c r="C17" s="43" t="n">
        <x:f>TRIAL_CONV</x:f>
        <x:v>0.25</x:v>
      </x:c>
      <x:c r="D17" s="18" t="s">
        <x:v>118</x:v>
      </x:c>
    </x:row>
    <x:row r="18" ht="22.049999237060547" customHeight="1">
      <x:c r="B18" s="6" t="s">
        <x:v>302</x:v>
      </x:c>
      <x:c r="C18" s="24" t="n">
        <x:f>(COST_TRIAL_MKT+(LLM_VAC+10*LLM_INV+2*LLM_CHAT)*LLM_BUF+SUPPORT_TRIAL+INFRA_PER_EMP)/TRIAL_CONV</x:f>
        <x:v>9069.04</x:v>
      </x:c>
      <x:c r="D18" s="15" t="s">
        <x:v>303</x:v>
      </x:c>
    </x:row>
    <x:row r="19" ht="22.049999237060547" customHeight="1">
      <x:c r="B19" s="8" t="s">
        <x:v>304</x:v>
      </x:c>
      <x:c r="C19" s="44" t="n">
        <x:f>'Юнит-экономика'!C14</x:f>
        <x:v>115965.91992</x:v>
      </x:c>
      <x:c r="D19" s="18" t="s">
        <x:v>305</x:v>
      </x:c>
    </x:row>
    <x:row r="20" ht="22.049999237060547" customHeight="1">
      <x:c r="B20" s="6" t="s">
        <x:v>306</x:v>
      </x:c>
      <x:c r="C20" s="45" t="n">
        <x:f>'Юнит-экономика'!C14/((COST_TRIAL_MKT+(LLM_VAC+10*LLM_INV+2*LLM_CHAT)*LLM_BUF+SUPPORT_TRIAL+INFRA_PER_EMP)/TRIAL_CONV)</x:f>
        <x:v>12.78701162636839</x:v>
      </x:c>
      <x:c r="D20" s="15" t="s">
        <x:v>307</x:v>
      </x:c>
    </x:row>
    <x:row r="21" ht="22.049999237060547" customHeight="1">
      <x:c r="B21" s="8" t="s">
        <x:v>308</x:v>
      </x:c>
      <x:c r="C21" s="35" t="n">
        <x:f>(COST_TRIAL_MKT+(LLM_VAC+10*LLM_INV+2*LLM_CHAT)*LLM_BUF+SUPPORT_TRIAL+INFRA_PER_EMP)/TRIAL_CONV</x:f>
        <x:v>9069.04</x:v>
      </x:c>
      <x:c r="D21" s="18" t="s">
        <x:v>309</x:v>
      </x:c>
    </x:row>
  </x:sheetData>
  <x:mergeCells>
    <x:mergeCell ref="B4:D4"/>
    <x:mergeCell ref="C9:D9"/>
    <x:mergeCell ref="B12:D12"/>
    <x:mergeCell ref="B2:D2"/>
    <x:mergeCell ref="C6:D6"/>
    <x:mergeCell ref="C7:D7"/>
    <x:mergeCell ref="C10:D10"/>
    <x:mergeCell ref="C8:D8"/>
    <x:mergeCell ref="C5:D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30" customWidth="1"/>
    <x:col min="3" max="26" width="12" customWidth="1"/>
    <x:col min="27" max="27" width="15" customWidth="1"/>
  </x:cols>
  <x:sheetData>
    <x:row r="1" ht="15" customHeight="1"/>
    <x:row r="2" ht="31.950000762939453" customHeight="1">
      <x:c r="B2" s="63" t="s">
        <x:v>310</x:v>
      </x:c>
      <x:c r="C2" s="62"/>
      <x:c r="D2" s="62"/>
      <x:c r="E2" s="62"/>
      <x:c r="F2" s="62"/>
      <x:c r="G2" s="62"/>
      <x:c r="H2" s="62"/>
      <x:c r="I2" s="62"/>
      <x:c r="J2" s="62"/>
      <x:c r="K2" s="62"/>
      <x:c r="L2" s="62"/>
    </x:row>
    <x:row r="3" ht="7.949999809265137" customHeight="1"/>
    <x:row r="4" ht="28.049999237060547" customHeight="1">
      <x:c r="B4" s="12" t="s">
        <x:v>311</x:v>
      </x:c>
      <x:c r="C4" s="46">
        <x:v>1</x:v>
      </x:c>
      <x:c r="D4" s="46">
        <x:v>2</x:v>
      </x:c>
      <x:c r="E4" s="46">
        <x:v>3</x:v>
      </x:c>
      <x:c r="F4" s="46">
        <x:v>4</x:v>
      </x:c>
      <x:c r="G4" s="46">
        <x:v>5</x:v>
      </x:c>
      <x:c r="H4" s="46">
        <x:v>6</x:v>
      </x:c>
      <x:c r="I4" s="46">
        <x:v>7</x:v>
      </x:c>
      <x:c r="J4" s="46">
        <x:v>8</x:v>
      </x:c>
      <x:c r="K4" s="46">
        <x:v>9</x:v>
      </x:c>
      <x:c r="L4" s="46">
        <x:v>10</x:v>
      </x:c>
      <x:c r="M4" s="46">
        <x:v>11</x:v>
      </x:c>
      <x:c r="N4" s="46">
        <x:v>12</x:v>
      </x:c>
      <x:c r="O4" s="46">
        <x:v>13</x:v>
      </x:c>
      <x:c r="P4" s="46">
        <x:v>14</x:v>
      </x:c>
      <x:c r="Q4" s="46">
        <x:v>15</x:v>
      </x:c>
      <x:c r="R4" s="46">
        <x:v>16</x:v>
      </x:c>
      <x:c r="S4" s="46">
        <x:v>17</x:v>
      </x:c>
      <x:c r="T4" s="46">
        <x:v>18</x:v>
      </x:c>
      <x:c r="U4" s="46">
        <x:v>19</x:v>
      </x:c>
      <x:c r="V4" s="46">
        <x:v>20</x:v>
      </x:c>
      <x:c r="W4" s="46">
        <x:v>21</x:v>
      </x:c>
      <x:c r="X4" s="46">
        <x:v>22</x:v>
      </x:c>
      <x:c r="Y4" s="46">
        <x:v>23</x:v>
      </x:c>
      <x:c r="Z4" s="46">
        <x:v>24</x:v>
      </x:c>
      <x:c r="AA4" s="12" t="s">
        <x:v>312</x:v>
      </x:c>
    </x:row>
    <x:row r="5" ht="19.950000762939453" customHeight="1">
      <x:c r="B5" s="6" t="s">
        <x:v>313</x:v>
      </x:c>
      <x:c r="C5" s="36" t="n">
        <x:f>TRIALS_M1</x:f>
        <x:v>30</x:v>
      </x:c>
      <x:c r="D5" s="36" t="n">
        <x:f t="shared" ref="D5" si="0">MIN(TRIALS_M1*(1+TRIAL_GR)^(D$4-1),TRIAL_CAP)</x:f>
        <x:v>34.5</x:v>
      </x:c>
      <x:c r="E5" s="36" t="n">
        <x:f>MIN(TRIALS_M1*(1+TRIAL_GR)^(E$4-1),TRIAL_CAP)</x:f>
        <x:v>39.675</x:v>
      </x:c>
      <x:c r="F5" s="36" t="n">
        <x:f>MIN(TRIALS_M1*(1+TRIAL_GR)^(F$4-1),TRIAL_CAP)</x:f>
        <x:v>45.62624999999999</x:v>
      </x:c>
      <x:c r="G5" s="36" t="n">
        <x:f>MIN(TRIALS_M1*(1+TRIAL_GR)^(G$4-1),TRIAL_CAP)</x:f>
        <x:v>52.47018749999998</x:v>
      </x:c>
      <x:c r="H5" s="36" t="n">
        <x:f>MIN(TRIALS_M1*(1+TRIAL_GR)^(H$4-1),TRIAL_CAP)</x:f>
        <x:v>60.34071562499998</x:v>
      </x:c>
      <x:c r="I5" s="36" t="n">
        <x:f>MIN(TRIALS_M1*(1+TRIAL_GR)^(I$4-1),TRIAL_CAP)</x:f>
        <x:v>69.39182296874998</x:v>
      </x:c>
      <x:c r="J5" s="36" t="n">
        <x:f>MIN(TRIALS_M1*(1+TRIAL_GR)^(J$4-1),TRIAL_CAP)</x:f>
        <x:v>79.80059641406245</x:v>
      </x:c>
      <x:c r="K5" s="36" t="n">
        <x:f>MIN(TRIALS_M1*(1+TRIAL_GR)^(K$4-1),TRIAL_CAP)</x:f>
        <x:v>91.77068587617183</x:v>
      </x:c>
      <x:c r="L5" s="36" t="n">
        <x:f>MIN(TRIALS_M1*(1+TRIAL_GR)^(L$4-1),TRIAL_CAP)</x:f>
        <x:v>105.53628875759759</x:v>
      </x:c>
      <x:c r="M5" s="36" t="n">
        <x:f>MIN(TRIALS_M1*(1+TRIAL_GR)^(M$4-1),TRIAL_CAP)</x:f>
        <x:v>121.3667320712372</x:v>
      </x:c>
      <x:c r="N5" s="36" t="n">
        <x:f>MIN(TRIALS_M1*(1+TRIAL_GR)^(N$4-1),TRIAL_CAP)</x:f>
        <x:v>139.57174188192278</x:v>
      </x:c>
      <x:c r="O5" s="36" t="n">
        <x:f>MIN(TRIALS_M1*(1+TRIAL_GR)^(O$4-1),TRIAL_CAP)</x:f>
        <x:v>160.5075031642112</x:v>
      </x:c>
      <x:c r="P5" s="36" t="n">
        <x:f>MIN(TRIALS_M1*(1+TRIAL_GR)^(P$4-1),TRIAL_CAP)</x:f>
        <x:v>184.58362863884284</x:v>
      </x:c>
      <x:c r="Q5" s="36" t="n">
        <x:f>MIN(TRIALS_M1*(1+TRIAL_GR)^(Q$4-1),TRIAL_CAP)</x:f>
        <x:v>212.27117293466927</x:v>
      </x:c>
      <x:c r="R5" s="36" t="n">
        <x:f>MIN(TRIALS_M1*(1+TRIAL_GR)^(R$4-1),TRIAL_CAP)</x:f>
        <x:v>244.11184887486965</x:v>
      </x:c>
      <x:c r="S5" s="36" t="n">
        <x:f>MIN(TRIALS_M1*(1+TRIAL_GR)^(S$4-1),TRIAL_CAP)</x:f>
        <x:v>280.72862620610005</x:v>
      </x:c>
      <x:c r="T5" s="36" t="n">
        <x:f>MIN(TRIALS_M1*(1+TRIAL_GR)^(T$4-1),TRIAL_CAP)</x:f>
        <x:v>322.83792013701503</x:v>
      </x:c>
      <x:c r="U5" s="36" t="n">
        <x:f>MIN(TRIALS_M1*(1+TRIAL_GR)^(U$4-1),TRIAL_CAP)</x:f>
        <x:v>371.26360815756726</x:v>
      </x:c>
      <x:c r="V5" s="36" t="n">
        <x:f>MIN(TRIALS_M1*(1+TRIAL_GR)^(V$4-1),TRIAL_CAP)</x:f>
        <x:v>426.9531493812023</x:v>
      </x:c>
      <x:c r="W5" s="36" t="n">
        <x:f>MIN(TRIALS_M1*(1+TRIAL_GR)^(W$4-1),TRIAL_CAP)</x:f>
        <x:v>490.99612178838265</x:v>
      </x:c>
      <x:c r="X5" s="36" t="n">
        <x:f>MIN(TRIALS_M1*(1+TRIAL_GR)^(X$4-1),TRIAL_CAP)</x:f>
        <x:v>500</x:v>
      </x:c>
      <x:c r="Y5" s="36" t="n">
        <x:f>MIN(TRIALS_M1*(1+TRIAL_GR)^(Y$4-1),TRIAL_CAP)</x:f>
        <x:v>500</x:v>
      </x:c>
      <x:c r="Z5" s="36" t="n">
        <x:f>MIN(TRIALS_M1*(1+TRIAL_GR)^(Z$4-1),TRIAL_CAP)</x:f>
        <x:v>500</x:v>
      </x:c>
      <x:c r="AA5" s="36" t="n">
        <x:f>SUM(C5:Z5)</x:f>
        <x:v>5064.303600377602</x:v>
      </x:c>
    </x:row>
    <x:row r="6" ht="19.950000762939453" customHeight="1">
      <x:c r="B6" s="8" t="s">
        <x:v>314</x:v>
      </x:c>
      <x:c r="C6" s="38" t="n">
        <x:f t="shared" ref="C6" si="1">C5*TRIAL_CONV+DIRECT_NEW</x:f>
        <x:v>12.5</x:v>
      </x:c>
      <x:c r="D6" s="38" t="n">
        <x:f>D5*TRIAL_CONV+DIRECT_NEW</x:f>
        <x:v>13.625</x:v>
      </x:c>
      <x:c r="E6" s="38" t="n">
        <x:f>E5*TRIAL_CONV+DIRECT_NEW</x:f>
        <x:v>14.91875</x:v>
      </x:c>
      <x:c r="F6" s="38" t="n">
        <x:f>F5*TRIAL_CONV+DIRECT_NEW</x:f>
        <x:v>16.4065625</x:v>
      </x:c>
      <x:c r="G6" s="38" t="n">
        <x:f>G5*TRIAL_CONV+DIRECT_NEW</x:f>
        <x:v>18.117546874999995</x:v>
      </x:c>
      <x:c r="H6" s="38" t="n">
        <x:f>H5*TRIAL_CONV+DIRECT_NEW</x:f>
        <x:v>20.085178906249993</x:v>
      </x:c>
      <x:c r="I6" s="38" t="n">
        <x:f>I5*TRIAL_CONV+DIRECT_NEW</x:f>
        <x:v>22.347955742187494</x:v>
      </x:c>
      <x:c r="J6" s="38" t="n">
        <x:f>J5*TRIAL_CONV+DIRECT_NEW</x:f>
        <x:v>24.950149103515614</x:v>
      </x:c>
      <x:c r="K6" s="38" t="n">
        <x:f>K5*TRIAL_CONV+DIRECT_NEW</x:f>
        <x:v>27.942671469042956</x:v>
      </x:c>
      <x:c r="L6" s="38" t="n">
        <x:f>L5*TRIAL_CONV+DIRECT_NEW</x:f>
        <x:v>31.384072189399397</x:v>
      </x:c>
      <x:c r="M6" s="38" t="n">
        <x:f>M5*TRIAL_CONV+DIRECT_NEW</x:f>
        <x:v>35.3416830178093</x:v>
      </x:c>
      <x:c r="N6" s="38" t="n">
        <x:f>N5*TRIAL_CONV+DIRECT_NEW</x:f>
        <x:v>39.892935470480694</x:v>
      </x:c>
      <x:c r="O6" s="38" t="n">
        <x:f>O5*TRIAL_CONV+DIRECT_NEW</x:f>
        <x:v>45.1268757910528</x:v>
      </x:c>
      <x:c r="P6" s="38" t="n">
        <x:f>P5*TRIAL_CONV+DIRECT_NEW</x:f>
        <x:v>51.14590715971071</x:v>
      </x:c>
      <x:c r="Q6" s="38" t="n">
        <x:f>Q5*TRIAL_CONV+DIRECT_NEW</x:f>
        <x:v>58.06779323366732</x:v>
      </x:c>
      <x:c r="R6" s="38" t="n">
        <x:f>R5*TRIAL_CONV+DIRECT_NEW</x:f>
        <x:v>66.02796221871742</x:v>
      </x:c>
      <x:c r="S6" s="38" t="n">
        <x:f>S5*TRIAL_CONV+DIRECT_NEW</x:f>
        <x:v>75.18215655152501</x:v>
      </x:c>
      <x:c r="T6" s="38" t="n">
        <x:f>T5*TRIAL_CONV+DIRECT_NEW</x:f>
        <x:v>85.70948003425376</x:v>
      </x:c>
      <x:c r="U6" s="38" t="n">
        <x:f>U5*TRIAL_CONV+DIRECT_NEW</x:f>
        <x:v>97.81590203939182</x:v>
      </x:c>
      <x:c r="V6" s="38" t="n">
        <x:f>V5*TRIAL_CONV+DIRECT_NEW</x:f>
        <x:v>111.73828734530058</x:v>
      </x:c>
      <x:c r="W6" s="38" t="n">
        <x:f>W5*TRIAL_CONV+DIRECT_NEW</x:f>
        <x:v>127.74903044709566</x:v>
      </x:c>
      <x:c r="X6" s="38" t="n">
        <x:f>X5*TRIAL_CONV+DIRECT_NEW</x:f>
        <x:v>130</x:v>
      </x:c>
      <x:c r="Y6" s="38" t="n">
        <x:f>Y5*TRIAL_CONV+DIRECT_NEW</x:f>
        <x:v>130</x:v>
      </x:c>
      <x:c r="Z6" s="38" t="n">
        <x:f>Z5*TRIAL_CONV+DIRECT_NEW</x:f>
        <x:v>130</x:v>
      </x:c>
      <x:c r="AA6" s="38" t="n">
        <x:f>SUM(C6:Z6)</x:f>
        <x:v>1386.0759000944006</x:v>
      </x:c>
    </x:row>
    <x:row r="7" ht="19.950000762939453" customHeight="1">
      <x:c r="B7" s="6" t="s">
        <x:v>315</x:v>
      </x:c>
      <x:c r="C7" s="36">
        <x:v>0</x:v>
      </x:c>
      <x:c r="D7" s="36" t="n">
        <x:f t="shared" ref="D7" si="2">C8*CHURN</x:f>
        <x:v>0.625</x:v>
      </x:c>
      <x:c r="E7" s="36" t="n">
        <x:f>D8*CHURN</x:f>
        <x:v>1.2750000000000001</x:v>
      </x:c>
      <x:c r="F7" s="36" t="n">
        <x:f>E8*CHURN</x:f>
        <x:v>1.9571875000000003</x:v>
      </x:c>
      <x:c r="G7" s="36" t="n">
        <x:f>F8*CHURN</x:f>
        <x:v>2.6796562500000003</x:v>
      </x:c>
      <x:c r="H7" s="36" t="n">
        <x:f>G8*CHURN</x:f>
        <x:v>3.451550781250001</x:v>
      </x:c>
      <x:c r="I7" s="36" t="n">
        <x:f>H8*CHURN</x:f>
        <x:v>4.2832321875</x:v>
      </x:c>
      <x:c r="J7" s="36" t="n">
        <x:f>I8*CHURN</x:f>
        <x:v>5.186468365234375</x:v>
      </x:c>
      <x:c r="K7" s="36" t="n">
        <x:f>J8*CHURN</x:f>
        <x:v>6.1746524021484355</x:v>
      </x:c>
      <x:c r="L7" s="36" t="n">
        <x:f>K8*CHURN</x:f>
        <x:v>7.263053355493162</x:v>
      </x:c>
      <x:c r="M7" s="36" t="n">
        <x:f>L8*CHURN</x:f>
        <x:v>8.469104297188474</x:v>
      </x:c>
      <x:c r="N7" s="36" t="n">
        <x:f>M8*CHURN</x:f>
        <x:v>9.812733233219518</x:v>
      </x:c>
      <x:c r="O7" s="36" t="n">
        <x:f>N8*CHURN</x:f>
        <x:v>11.316743345082577</x:v>
      </x:c>
      <x:c r="P7" s="36" t="n">
        <x:f>O8*CHURN</x:f>
        <x:v>13.007249967381089</x:v>
      </x:c>
      <x:c r="Q7" s="36" t="n">
        <x:f>P8*CHURN</x:f>
        <x:v>14.91418282699757</x:v>
      </x:c>
      <x:c r="R7" s="36" t="n">
        <x:f>Q8*CHURN</x:f>
        <x:v>17.071863347331057</x:v>
      </x:c>
      <x:c r="S7" s="36" t="n">
        <x:f>R8*CHURN</x:f>
        <x:v>19.519668290900377</x:v>
      </x:c>
      <x:c r="T7" s="36" t="n">
        <x:f>S8*CHURN</x:f>
        <x:v>22.30279270393161</x:v>
      </x:c>
      <x:c r="U7" s="36" t="n">
        <x:f>T8*CHURN</x:f>
        <x:v>25.473127070447713</x:v>
      </x:c>
      <x:c r="V7" s="36" t="n">
        <x:f>U8*CHURN</x:f>
        <x:v>29.090265818894917</x:v>
      </x:c>
      <x:c r="W7" s="36" t="n">
        <x:f>V8*CHURN</x:f>
        <x:v>33.222666895215205</x:v>
      </x:c>
      <x:c r="X7" s="36" t="n">
        <x:f>W8*CHURN</x:f>
        <x:v>37.94898507280922</x:v>
      </x:c>
      <x:c r="Y7" s="36" t="n">
        <x:f>X8*CHURN</x:f>
        <x:v>42.55153581916876</x:v>
      </x:c>
      <x:c r="Z7" s="36" t="n">
        <x:f>Y8*CHURN</x:f>
        <x:v>46.92395902821033</x:v>
      </x:c>
      <x:c r="AA7" s="36" t="n">
        <x:f>SUM(C7:Z7)</x:f>
        <x:v>364.52067855840437</x:v>
      </x:c>
    </x:row>
    <x:row r="8" ht="19.950000762939453" customHeight="1">
      <x:c r="B8" s="8" t="s">
        <x:v>316</x:v>
      </x:c>
      <x:c r="C8" s="38" t="n">
        <x:f>C6</x:f>
        <x:v>12.5</x:v>
      </x:c>
      <x:c r="D8" s="38" t="n">
        <x:f t="shared" ref="D8" si="3">C8+D6-D7</x:f>
        <x:v>25.5</x:v>
      </x:c>
      <x:c r="E8" s="38" t="n">
        <x:f>D8+E6-E7</x:f>
        <x:v>39.143750000000004</x:v>
      </x:c>
      <x:c r="F8" s="38" t="n">
        <x:f>E8+F6-F7</x:f>
        <x:v>53.593125</x:v>
      </x:c>
      <x:c r="G8" s="38" t="n">
        <x:f>F8+G6-G7</x:f>
        <x:v>69.03101562500001</x:v>
      </x:c>
      <x:c r="H8" s="38" t="n">
        <x:f>G8+H6-H7</x:f>
        <x:v>85.66464375</x:v>
      </x:c>
      <x:c r="I8" s="38" t="n">
        <x:f>H8+I6-I7</x:f>
        <x:v>103.72936730468749</x:v>
      </x:c>
      <x:c r="J8" s="38" t="n">
        <x:f>I8+J6-J7</x:f>
        <x:v>123.49304804296871</x:v>
      </x:c>
      <x:c r="K8" s="38" t="n">
        <x:f>J8+K6-K7</x:f>
        <x:v>145.26106710986323</x:v>
      </x:c>
      <x:c r="L8" s="38" t="n">
        <x:f>K8+L6-L7</x:f>
        <x:v>169.38208594376948</x:v>
      </x:c>
      <x:c r="M8" s="38" t="n">
        <x:f>L8+M6-M7</x:f>
        <x:v>196.25466466439033</x:v>
      </x:c>
      <x:c r="N8" s="38" t="n">
        <x:f>M8+N6-N7</x:f>
        <x:v>226.3348669016515</x:v>
      </x:c>
      <x:c r="O8" s="38" t="n">
        <x:f>N8+O6-O7</x:f>
        <x:v>260.14499934762176</x:v>
      </x:c>
      <x:c r="P8" s="38" t="n">
        <x:f>O8+P6-P7</x:f>
        <x:v>298.2836565399514</x:v>
      </x:c>
      <x:c r="Q8" s="38" t="n">
        <x:f>P8+Q6-Q7</x:f>
        <x:v>341.43726694662115</x:v>
      </x:c>
      <x:c r="R8" s="38" t="n">
        <x:f>Q8+R6-R7</x:f>
        <x:v>390.3933658180075</x:v>
      </x:c>
      <x:c r="S8" s="38" t="n">
        <x:f>R8+S6-S7</x:f>
        <x:v>446.05585407863214</x:v>
      </x:c>
      <x:c r="T8" s="38" t="n">
        <x:f>S8+T6-T7</x:f>
        <x:v>509.4625414089542</x:v>
      </x:c>
      <x:c r="U8" s="38" t="n">
        <x:f>T8+U6-U7</x:f>
        <x:v>581.8053163778983</x:v>
      </x:c>
      <x:c r="V8" s="38" t="n">
        <x:f>U8+V6-V7</x:f>
        <x:v>664.453337904304</x:v>
      </x:c>
      <x:c r="W8" s="38" t="n">
        <x:f>V8+W6-W7</x:f>
        <x:v>758.9797014561844</x:v>
      </x:c>
      <x:c r="X8" s="38" t="n">
        <x:f>W8+X6-X7</x:f>
        <x:v>851.0307163833752</x:v>
      </x:c>
      <x:c r="Y8" s="38" t="n">
        <x:f>X8+Y6-Y7</x:f>
        <x:v>938.4791805642064</x:v>
      </x:c>
      <x:c r="Z8" s="38" t="n">
        <x:f>Y8+Z6-Z7</x:f>
        <x:v>1021.5552215359961</x:v>
      </x:c>
      <x:c r="AA8" s="38" t="n">
        <x:f>Z8</x:f>
        <x:v>1021.5552215359961</x:v>
      </x:c>
    </x:row>
    <x:row r="9" ht="19.950000762939453" customHeight="1">
      <x:c r="B9" s="6" t="s">
        <x:v>317</x:v>
      </x:c>
      <x:c r="C9" s="36" t="n">
        <x:f t="shared" ref="C9" si="4">C8*SUB_START_SH</x:f>
        <x:v>3.125</x:v>
      </x:c>
      <x:c r="D9" s="36" t="n">
        <x:f>D8*SUB_START_SH</x:f>
        <x:v>6.375</x:v>
      </x:c>
      <x:c r="E9" s="36" t="n">
        <x:f>E8*SUB_START_SH</x:f>
        <x:v>9.785937500000001</x:v>
      </x:c>
      <x:c r="F9" s="36" t="n">
        <x:f>F8*SUB_START_SH</x:f>
        <x:v>13.39828125</x:v>
      </x:c>
      <x:c r="G9" s="36" t="n">
        <x:f>G8*SUB_START_SH</x:f>
        <x:v>17.257753906250002</x:v>
      </x:c>
      <x:c r="H9" s="36" t="n">
        <x:f>H8*SUB_START_SH</x:f>
        <x:v>21.4161609375</x:v>
      </x:c>
      <x:c r="I9" s="36" t="n">
        <x:f>I8*SUB_START_SH</x:f>
        <x:v>25.93234182617187</x:v>
      </x:c>
      <x:c r="J9" s="36" t="n">
        <x:f>J8*SUB_START_SH</x:f>
        <x:v>30.873262010742177</x:v>
      </x:c>
      <x:c r="K9" s="36" t="n">
        <x:f>K8*SUB_START_SH</x:f>
        <x:v>36.31526677746581</x:v>
      </x:c>
      <x:c r="L9" s="36" t="n">
        <x:f>L8*SUB_START_SH</x:f>
        <x:v>42.34552148594237</x:v>
      </x:c>
      <x:c r="M9" s="36" t="n">
        <x:f>M8*SUB_START_SH</x:f>
        <x:v>49.06366616609758</x:v>
      </x:c>
      <x:c r="N9" s="36" t="n">
        <x:f>N8*SUB_START_SH</x:f>
        <x:v>56.58371672541288</x:v>
      </x:c>
      <x:c r="O9" s="36" t="n">
        <x:f>O8*SUB_START_SH</x:f>
        <x:v>65.03624983690544</x:v>
      </x:c>
      <x:c r="P9" s="36" t="n">
        <x:f>P8*SUB_START_SH</x:f>
        <x:v>74.57091413498785</x:v>
      </x:c>
      <x:c r="Q9" s="36" t="n">
        <x:f>Q8*SUB_START_SH</x:f>
        <x:v>85.35931673665529</x:v>
      </x:c>
      <x:c r="R9" s="36" t="n">
        <x:f>R8*SUB_START_SH</x:f>
        <x:v>97.59834145450188</x:v>
      </x:c>
      <x:c r="S9" s="36" t="n">
        <x:f>S8*SUB_START_SH</x:f>
        <x:v>111.51396351965803</x:v>
      </x:c>
      <x:c r="T9" s="36" t="n">
        <x:f>T8*SUB_START_SH</x:f>
        <x:v>127.36563535223856</x:v>
      </x:c>
      <x:c r="U9" s="36" t="n">
        <x:f>U8*SUB_START_SH</x:f>
        <x:v>145.45132909447457</x:v>
      </x:c>
      <x:c r="V9" s="36" t="n">
        <x:f>V8*SUB_START_SH</x:f>
        <x:v>166.113334476076</x:v>
      </x:c>
      <x:c r="W9" s="36" t="n">
        <x:f>W8*SUB_START_SH</x:f>
        <x:v>189.7449253640461</x:v>
      </x:c>
      <x:c r="X9" s="36" t="n">
        <x:f>X8*SUB_START_SH</x:f>
        <x:v>212.7576790958438</x:v>
      </x:c>
      <x:c r="Y9" s="36" t="n">
        <x:f>Y8*SUB_START_SH</x:f>
        <x:v>234.6197951410516</x:v>
      </x:c>
      <x:c r="Z9" s="36" t="n">
        <x:f>Z8*SUB_START_SH</x:f>
        <x:v>255.38880538399903</x:v>
      </x:c>
      <x:c r="AA9" s="36" t="n">
        <x:f>Z9</x:f>
        <x:v>255.38880538399903</x:v>
      </x:c>
    </x:row>
    <x:row r="10" ht="19.950000762939453" customHeight="1">
      <x:c r="B10" s="8" t="s">
        <x:v>318</x:v>
      </x:c>
      <x:c r="C10" s="38" t="n">
        <x:f t="shared" ref="C10" si="5">C8*SUB_BIZ_SH</x:f>
        <x:v>1</x:v>
      </x:c>
      <x:c r="D10" s="38" t="n">
        <x:f>D8*SUB_BIZ_SH</x:f>
        <x:v>2.04</x:v>
      </x:c>
      <x:c r="E10" s="38" t="n">
        <x:f>E8*SUB_BIZ_SH</x:f>
        <x:v>3.1315000000000004</x:v>
      </x:c>
      <x:c r="F10" s="38" t="n">
        <x:f>F8*SUB_BIZ_SH</x:f>
        <x:v>4.28745</x:v>
      </x:c>
      <x:c r="G10" s="38" t="n">
        <x:f>G8*SUB_BIZ_SH</x:f>
        <x:v>5.522481250000001</x:v>
      </x:c>
      <x:c r="H10" s="38" t="n">
        <x:f>H8*SUB_BIZ_SH</x:f>
        <x:v>6.8531715</x:v>
      </x:c>
      <x:c r="I10" s="38" t="n">
        <x:f>I8*SUB_BIZ_SH</x:f>
        <x:v>8.298349384375</x:v>
      </x:c>
      <x:c r="J10" s="38" t="n">
        <x:f>J8*SUB_BIZ_SH</x:f>
        <x:v>9.879443843437498</x:v>
      </x:c>
      <x:c r="K10" s="38" t="n">
        <x:f>K8*SUB_BIZ_SH</x:f>
        <x:v>11.62088536878906</x:v>
      </x:c>
      <x:c r="L10" s="38" t="n">
        <x:f>L8*SUB_BIZ_SH</x:f>
        <x:v>13.55056687550156</x:v>
      </x:c>
      <x:c r="M10" s="38" t="n">
        <x:f>M8*SUB_BIZ_SH</x:f>
        <x:v>15.700373173151227</x:v>
      </x:c>
      <x:c r="N10" s="38" t="n">
        <x:f>N8*SUB_BIZ_SH</x:f>
        <x:v>18.10678935213212</x:v>
      </x:c>
      <x:c r="O10" s="38" t="n">
        <x:f>O8*SUB_BIZ_SH</x:f>
        <x:v>20.811599947809743</x:v>
      </x:c>
      <x:c r="P10" s="38" t="n">
        <x:f>P8*SUB_BIZ_SH</x:f>
        <x:v>23.86269252319611</x:v>
      </x:c>
      <x:c r="Q10" s="38" t="n">
        <x:f>Q8*SUB_BIZ_SH</x:f>
        <x:v>27.314981355729692</x:v>
      </x:c>
      <x:c r="R10" s="38" t="n">
        <x:f>R8*SUB_BIZ_SH</x:f>
        <x:v>31.2314692654406</x:v>
      </x:c>
      <x:c r="S10" s="38" t="n">
        <x:f>S8*SUB_BIZ_SH</x:f>
        <x:v>35.68446832629057</x:v>
      </x:c>
      <x:c r="T10" s="38" t="n">
        <x:f>T8*SUB_BIZ_SH</x:f>
        <x:v>40.757003312716336</x:v>
      </x:c>
      <x:c r="U10" s="38" t="n">
        <x:f>U8*SUB_BIZ_SH</x:f>
        <x:v>46.544425310231865</x:v>
      </x:c>
      <x:c r="V10" s="38" t="n">
        <x:f>V8*SUB_BIZ_SH</x:f>
        <x:v>53.156267032344324</x:v>
      </x:c>
      <x:c r="W10" s="38" t="n">
        <x:f>W8*SUB_BIZ_SH</x:f>
        <x:v>60.71837611649476</x:v>
      </x:c>
      <x:c r="X10" s="38" t="n">
        <x:f>X8*SUB_BIZ_SH</x:f>
        <x:v>68.08245731067002</x:v>
      </x:c>
      <x:c r="Y10" s="38" t="n">
        <x:f>Y8*SUB_BIZ_SH</x:f>
        <x:v>75.07833444513652</x:v>
      </x:c>
      <x:c r="Z10" s="38" t="n">
        <x:f>Z8*SUB_BIZ_SH</x:f>
        <x:v>81.72441772287969</x:v>
      </x:c>
      <x:c r="AA10" s="38" t="n">
        <x:f>Z10</x:f>
        <x:v>81.72441772287969</x:v>
      </x:c>
    </x:row>
    <x:row r="11" ht="19.950000762939453" customHeight="1">
      <x:c r="B11" s="6" t="s">
        <x:v>319</x:v>
      </x:c>
      <x:c r="C11" s="36" t="n">
        <x:f t="shared" ref="C11" si="6">C8*CASUAL_SH</x:f>
        <x:v>8.375</x:v>
      </x:c>
      <x:c r="D11" s="36" t="n">
        <x:f>D8*CASUAL_SH</x:f>
        <x:v>17.085</x:v>
      </x:c>
      <x:c r="E11" s="36" t="n">
        <x:f>E8*CASUAL_SH</x:f>
        <x:v>26.226312500000006</x:v>
      </x:c>
      <x:c r="F11" s="36" t="n">
        <x:f>F8*CASUAL_SH</x:f>
        <x:v>35.907393750000004</x:v>
      </x:c>
      <x:c r="G11" s="36" t="n">
        <x:f>G8*CASUAL_SH</x:f>
        <x:v>46.25078046875001</x:v>
      </x:c>
      <x:c r="H11" s="36" t="n">
        <x:f>H8*CASUAL_SH</x:f>
        <x:v>57.3953113125</x:v>
      </x:c>
      <x:c r="I11" s="36" t="n">
        <x:f>I8*CASUAL_SH</x:f>
        <x:v>69.49867609414062</x:v>
      </x:c>
      <x:c r="J11" s="36" t="n">
        <x:f>J8*CASUAL_SH</x:f>
        <x:v>82.74034218878904</x:v>
      </x:c>
      <x:c r="K11" s="36" t="n">
        <x:f>K8*CASUAL_SH</x:f>
        <x:v>97.32491496360838</x:v>
      </x:c>
      <x:c r="L11" s="36" t="n">
        <x:f>L8*CASUAL_SH</x:f>
        <x:v>113.48599758232557</x:v>
      </x:c>
      <x:c r="M11" s="36" t="n">
        <x:f>M8*CASUAL_SH</x:f>
        <x:v>131.49062532514154</x:v>
      </x:c>
      <x:c r="N11" s="36" t="n">
        <x:f>N8*CASUAL_SH</x:f>
        <x:v>151.6443608241065</x:v>
      </x:c>
      <x:c r="O11" s="36" t="n">
        <x:f>O8*CASUAL_SH</x:f>
        <x:v>174.29714956290658</x:v>
      </x:c>
      <x:c r="P11" s="36" t="n">
        <x:f>P8*CASUAL_SH</x:f>
        <x:v>199.85004988176743</x:v>
      </x:c>
      <x:c r="Q11" s="36" t="n">
        <x:f>Q8*CASUAL_SH</x:f>
        <x:v>228.7629688542362</x:v>
      </x:c>
      <x:c r="R11" s="36" t="n">
        <x:f>R8*CASUAL_SH</x:f>
        <x:v>261.563555098065</x:v>
      </x:c>
      <x:c r="S11" s="36" t="n">
        <x:f>S8*CASUAL_SH</x:f>
        <x:v>298.8574222326836</x:v>
      </x:c>
      <x:c r="T11" s="36" t="n">
        <x:f>T8*CASUAL_SH</x:f>
        <x:v>341.33990274399935</x:v>
      </x:c>
      <x:c r="U11" s="36" t="n">
        <x:f>U8*CASUAL_SH</x:f>
        <x:v>389.8095619731919</x:v>
      </x:c>
      <x:c r="V11" s="36" t="n">
        <x:f>V8*CASUAL_SH</x:f>
        <x:v>445.1837363958837</x:v>
      </x:c>
      <x:c r="W11" s="36" t="n">
        <x:f>W8*CASUAL_SH</x:f>
        <x:v>508.5163999756436</x:v>
      </x:c>
      <x:c r="X11" s="36" t="n">
        <x:f>X8*CASUAL_SH</x:f>
        <x:v>570.1905799768614</x:v>
      </x:c>
      <x:c r="Y11" s="36" t="n">
        <x:f>Y8*CASUAL_SH</x:f>
        <x:v>628.7810509780184</x:v>
      </x:c>
      <x:c r="Z11" s="36" t="n">
        <x:f>Z8*CASUAL_SH</x:f>
        <x:v>684.4419984291175</x:v>
      </x:c>
      <x:c r="AA11" s="36" t="n">
        <x:f>Z11</x:f>
        <x:v>684.4419984291175</x:v>
      </x:c>
    </x:row>
    <x:row r="12" ht="19.950000762939453" customHeight="1">
      <x:c r="B12" s="8" t="s">
        <x:v>320</x:v>
      </x:c>
      <x:c r="C12" s="38" t="n">
        <x:f t="shared" ref="C12" si="7">C11*CASUAL_ACT*VAC_PER_EMP+C9*VAC_PER_EMP_SUB+C10*VAC_PER_EMP_BIZ</x:f>
        <x:v>17.7875</x:v>
      </x:c>
      <x:c r="D12" s="38" t="n">
        <x:f>D11*CASUAL_ACT*VAC_PER_EMP+D9*VAC_PER_EMP_SUB+D10*VAC_PER_EMP_BIZ</x:f>
        <x:v>36.286500000000004</x:v>
      </x:c>
      <x:c r="E12" s="38" t="n">
        <x:f>E11*CASUAL_ACT*VAC_PER_EMP+E9*VAC_PER_EMP_SUB+E10*VAC_PER_EMP_BIZ</x:f>
        <x:v>55.70155625000001</x:v>
      </x:c>
      <x:c r="F12" s="38" t="n">
        <x:f>F11*CASUAL_ACT*VAC_PER_EMP+F9*VAC_PER_EMP_SUB+F10*VAC_PER_EMP_BIZ</x:f>
        <x:v>76.263016875</x:v>
      </x:c>
      <x:c r="G12" s="38" t="n">
        <x:f>G11*CASUAL_ACT*VAC_PER_EMP+G9*VAC_PER_EMP_SUB+G10*VAC_PER_EMP_BIZ</x:f>
        <x:v>98.23113523437502</x:v>
      </x:c>
      <x:c r="H12" s="38" t="n">
        <x:f>H11*CASUAL_ACT*VAC_PER_EMP+H9*VAC_PER_EMP_SUB+H10*VAC_PER_EMP_BIZ</x:f>
        <x:v>121.90078805625001</x:v>
      </x:c>
      <x:c r="I12" s="38" t="n">
        <x:f>I11*CASUAL_ACT*VAC_PER_EMP+I9*VAC_PER_EMP_SUB+I10*VAC_PER_EMP_BIZ</x:f>
        <x:v>147.6068896745703</x:v>
      </x:c>
      <x:c r="J12" s="38" t="n">
        <x:f>J11*CASUAL_ACT*VAC_PER_EMP+J9*VAC_PER_EMP_SUB+J10*VAC_PER_EMP_BIZ</x:f>
        <x:v>175.7306073651445</x:v>
      </x:c>
      <x:c r="K12" s="38" t="n">
        <x:f>K11*CASUAL_ACT*VAC_PER_EMP+K9*VAC_PER_EMP_SUB+K10*VAC_PER_EMP_BIZ</x:f>
        <x:v>206.70649849733542</x:v>
      </x:c>
      <x:c r="L12" s="38" t="n">
        <x:f>L11*CASUAL_ACT*VAC_PER_EMP+L9*VAC_PER_EMP_SUB+L10*VAC_PER_EMP_BIZ</x:f>
        <x:v>241.030708297984</x:v>
      </x:c>
      <x:c r="M12" s="38" t="n">
        <x:f>M11*CASUAL_ACT*VAC_PER_EMP+M9*VAC_PER_EMP_SUB+M10*VAC_PER_EMP_BIZ</x:f>
        <x:v>279.2703878174275</x:v>
      </x:c>
      <x:c r="N12" s="38" t="n">
        <x:f>N11*CASUAL_ACT*VAC_PER_EMP+N9*VAC_PER_EMP_SUB+N10*VAC_PER_EMP_BIZ</x:f>
        <x:v>322.0745156010501</x:v>
      </x:c>
      <x:c r="O12" s="38" t="n">
        <x:f>O11*CASUAL_ACT*VAC_PER_EMP+O9*VAC_PER_EMP_SUB+O10*VAC_PER_EMP_BIZ</x:f>
        <x:v>370.1863340716657</x:v>
      </x:c>
      <x:c r="P12" s="38" t="n">
        <x:f>P11*CASUAL_ACT*VAC_PER_EMP+P9*VAC_PER_EMP_SUB+P10*VAC_PER_EMP_BIZ</x:f>
        <x:v>424.4576432563508</x:v>
      </x:c>
      <x:c r="Q12" s="38" t="n">
        <x:f>Q11*CASUAL_ACT*VAC_PER_EMP+Q9*VAC_PER_EMP_SUB+Q10*VAC_PER_EMP_BIZ</x:f>
        <x:v>485.8652308650419</x:v>
      </x:c>
      <x:c r="R12" s="38" t="n">
        <x:f>R11*CASUAL_ACT*VAC_PER_EMP+R9*VAC_PER_EMP_SUB+R10*VAC_PER_EMP_BIZ</x:f>
        <x:v>555.5297595590247</x:v>
      </x:c>
      <x:c r="S12" s="38" t="n">
        <x:f>S11*CASUAL_ACT*VAC_PER_EMP+S9*VAC_PER_EMP_SUB+S10*VAC_PER_EMP_BIZ</x:f>
        <x:v>634.7374803538935</x:v>
      </x:c>
      <x:c r="T12" s="38" t="n">
        <x:f>T11*CASUAL_ACT*VAC_PER_EMP+T9*VAC_PER_EMP_SUB+T10*VAC_PER_EMP_BIZ</x:f>
        <x:v>724.9651964249418</x:v>
      </x:c>
      <x:c r="U12" s="38" t="n">
        <x:f>U11*CASUAL_ACT*VAC_PER_EMP+U9*VAC_PER_EMP_SUB+U10*VAC_PER_EMP_BIZ</x:f>
        <x:v>827.9089652057494</x:v>
      </x:c>
      <x:c r="V12" s="38" t="n">
        <x:f>V11*CASUAL_ACT*VAC_PER_EMP+V9*VAC_PER_EMP_SUB+V10*VAC_PER_EMP_BIZ</x:f>
        <x:v>945.5170998378246</x:v>
      </x:c>
      <x:c r="W12" s="38" t="n">
        <x:f>W11*CASUAL_ACT*VAC_PER_EMP+W9*VAC_PER_EMP_SUB+W10*VAC_PER_EMP_BIZ</x:f>
        <x:v>1080.0281151721506</x:v>
      </x:c>
      <x:c r="X12" s="38" t="n">
        <x:f>X11*CASUAL_ACT*VAC_PER_EMP+X9*VAC_PER_EMP_SUB+X10*VAC_PER_EMP_BIZ</x:f>
        <x:v>1211.016709413543</x:v>
      </x:c>
      <x:c r="Y12" s="38" t="n">
        <x:f>Y11*CASUAL_ACT*VAC_PER_EMP+Y9*VAC_PER_EMP_SUB+Y10*VAC_PER_EMP_BIZ</x:f>
        <x:v>1335.4558739428658</x:v>
      </x:c>
      <x:c r="Z12" s="38" t="n">
        <x:f>Z11*CASUAL_ACT*VAC_PER_EMP+Z9*VAC_PER_EMP_SUB+Z10*VAC_PER_EMP_BIZ</x:f>
        <x:v>1453.6730802457225</x:v>
      </x:c>
      <x:c r="AA12" s="38" t="n">
        <x:f t="shared" ref="AA12" si="8">SUM(C12:Z12)</x:f>
        <x:v>11827.931592017909</x:v>
      </x:c>
    </x:row>
    <x:row r="13" ht="19.950000762939453" customHeight="1">
      <x:c r="B13" s="6" t="s">
        <x:v>321</x:v>
      </x:c>
      <x:c r="C13" s="36" t="n">
        <x:f t="shared" ref="C13" si="9">C11*CASUAL_ACT*INV_PER_EMP_CAS+C9*INV_PER_EMP_SUB+C10*INV_PER_EMP_BIZ</x:f>
        <x:v>672.8</x:v>
      </x:c>
      <x:c r="D13" s="36" t="n">
        <x:f>D11*CASUAL_ACT*INV_PER_EMP_CAS+D9*INV_PER_EMP_SUB+D10*INV_PER_EMP_BIZ</x:f>
        <x:v>1372.512</x:v>
      </x:c>
      <x:c r="E13" s="36" t="n">
        <x:f>E11*CASUAL_ACT*INV_PER_EMP_CAS+E9*INV_PER_EMP_SUB+E10*INV_PER_EMP_BIZ</x:f>
        <x:v>2106.8732000000005</x:v>
      </x:c>
      <x:c r="F13" s="36" t="n">
        <x:f>F11*CASUAL_ACT*INV_PER_EMP_CAS+F9*INV_PER_EMP_SUB+F10*INV_PER_EMP_BIZ</x:f>
        <x:v>2884.5963599999995</x:v>
      </x:c>
      <x:c r="G13" s="36" t="n">
        <x:f>G11*CASUAL_ACT*INV_PER_EMP_CAS+G9*INV_PER_EMP_SUB+G10*INV_PER_EMP_BIZ</x:f>
        <x:v>3715.525385000001</x:v>
      </x:c>
      <x:c r="H13" s="36" t="n">
        <x:f>H11*CASUAL_ACT*INV_PER_EMP_CAS+H9*INV_PER_EMP_SUB+H10*INV_PER_EMP_BIZ</x:f>
        <x:v>4610.8137852</x:v>
      </x:c>
      <x:c r="I13" s="36" t="n">
        <x:f>I11*CASUAL_ACT*INV_PER_EMP_CAS+I9*INV_PER_EMP_SUB+I10*INV_PER_EMP_BIZ</x:f>
        <x:v>5583.1294658075</x:v>
      </x:c>
      <x:c r="J13" s="36" t="n">
        <x:f>J11*CASUAL_ACT*INV_PER_EMP_CAS+J9*INV_PER_EMP_SUB+J10*INV_PER_EMP_BIZ</x:f>
        <x:v>6646.889817864749</x:v>
      </x:c>
      <x:c r="K13" s="36" t="n">
        <x:f>K11*CASUAL_ACT*INV_PER_EMP_CAS+K9*INV_PER_EMP_SUB+K10*INV_PER_EMP_BIZ</x:f>
        <x:v>7818.531676121279</x:v>
      </x:c>
      <x:c r="L13" s="36" t="n">
        <x:f>L11*CASUAL_ACT*INV_PER_EMP_CAS+L9*INV_PER_EMP_SUB+L10*INV_PER_EMP_BIZ</x:f>
        <x:v>9116.821393837448</x:v>
      </x:c>
      <x:c r="M13" s="36" t="n">
        <x:f>M11*CASUAL_ACT*INV_PER_EMP_CAS+M9*INV_PER_EMP_SUB+M10*INV_PER_EMP_BIZ</x:f>
        <x:v>10563.211070896145</x:v>
      </x:c>
      <x:c r="N13" s="36" t="n">
        <x:f>N11*CASUAL_ACT*INV_PER_EMP_CAS+N9*INV_PER_EMP_SUB+N10*INV_PER_EMP_BIZ</x:f>
        <x:v>12182.247876114492</x:v>
      </x:c>
      <x:c r="O13" s="36" t="n">
        <x:f>O11*CASUAL_ACT*INV_PER_EMP_CAS+O9*INV_PER_EMP_SUB+O10*INV_PER_EMP_BIZ</x:f>
        <x:v>14002.044444886395</x:v>
      </x:c>
      <x:c r="P13" s="36" t="n">
        <x:f>P11*CASUAL_ACT*INV_PER_EMP_CAS+P9*INV_PER_EMP_SUB+P10*INV_PER_EMP_BIZ</x:f>
        <x:v>16054.819529606342</x:v>
      </x:c>
      <x:c r="Q13" s="36" t="n">
        <x:f>Q11*CASUAL_ACT*INV_PER_EMP_CAS+Q9*INV_PER_EMP_SUB+Q10*INV_PER_EMP_BIZ</x:f>
        <x:v>18377.519456134938</x:v>
      </x:c>
      <x:c r="R13" s="36" t="n">
        <x:f>R11*CASUAL_ACT*INV_PER_EMP_CAS+R9*INV_PER_EMP_SUB+R10*INV_PER_EMP_BIZ</x:f>
        <x:v>21012.53252178844</x:v>
      </x:c>
      <x:c r="S13" s="36" t="n">
        <x:f>S11*CASUAL_ACT*INV_PER_EMP_CAS+S9*INV_PER_EMP_SUB+S10*INV_PER_EMP_BIZ</x:f>
        <x:v>24008.510289928294</x:v>
      </x:c>
      <x:c r="T13" s="36" t="n">
        <x:f>T11*CASUAL_ACT*INV_PER_EMP_CAS+T9*INV_PER_EMP_SUB+T10*INV_PER_EMP_BIZ</x:f>
        <x:v>27421.31182879555</x:v>
      </x:c>
      <x:c r="U13" s="36" t="n">
        <x:f>U11*CASUAL_ACT*INV_PER_EMP_CAS+U9*INV_PER_EMP_SUB+U10*INV_PER_EMP_BIZ</x:f>
        <x:v>31315.089348724</x:v>
      </x:c>
      <x:c r="V13" s="36" t="n">
        <x:f>V11*CASUAL_ACT*INV_PER_EMP_CAS+V9*INV_PER_EMP_SUB+V10*INV_PER_EMP_BIZ</x:f>
        <x:v>35763.53645936126</x:v>
      </x:c>
      <x:c r="W13" s="36" t="n">
        <x:f>W11*CASUAL_ACT*INV_PER_EMP_CAS+W9*INV_PER_EMP_SUB+W10*INV_PER_EMP_BIZ</x:f>
        <x:v>40851.323451177675</x:v>
      </x:c>
      <x:c r="X13" s="36" t="n">
        <x:f>X11*CASUAL_ACT*INV_PER_EMP_CAS+X9*INV_PER_EMP_SUB+X10*INV_PER_EMP_BIZ</x:f>
        <x:v>45805.87727861879</x:v>
      </x:c>
      <x:c r="Y13" s="36" t="n">
        <x:f>Y11*CASUAL_ACT*INV_PER_EMP_CAS+Y9*INV_PER_EMP_SUB+Y10*INV_PER_EMP_BIZ</x:f>
        <x:v>50512.70341468785</x:v>
      </x:c>
      <x:c r="Z13" s="36" t="n">
        <x:f>Z11*CASUAL_ACT*INV_PER_EMP_CAS+Z9*INV_PER_EMP_SUB+Z10*INV_PER_EMP_BIZ</x:f>
        <x:v>54984.18824395345</x:v>
      </x:c>
      <x:c r="AA13" s="38" t="n">
        <x:f>SUM(C13:Z13)</x:f>
        <x:v>447383.4082985046</x:v>
      </x:c>
    </x:row>
    <x:row r="14" ht="19.950000762939453" customHeight="1">
      <x:c r="B14" s="8" t="s">
        <x:v>322</x:v>
      </x:c>
      <x:c r="C14" s="38" t="n">
        <x:f t="shared" ref="C14" si="10">C9*SUB_START</x:f>
        <x:v>30937.5</x:v>
      </x:c>
      <x:c r="D14" s="38" t="n">
        <x:f>D9*SUB_START</x:f>
        <x:v>63112.5</x:v>
      </x:c>
      <x:c r="E14" s="38" t="n">
        <x:f>E9*SUB_START</x:f>
        <x:v>96880.78125000001</x:v>
      </x:c>
      <x:c r="F14" s="38" t="n">
        <x:f>F9*SUB_START</x:f>
        <x:v>132642.984375</x:v>
      </x:c>
      <x:c r="G14" s="38" t="n">
        <x:f>G9*SUB_START</x:f>
        <x:v>170851.76367187503</x:v>
      </x:c>
      <x:c r="H14" s="38" t="n">
        <x:f>H9*SUB_START</x:f>
        <x:v>212019.99328125</x:v>
      </x:c>
      <x:c r="I14" s="38" t="n">
        <x:f>I9*SUB_START</x:f>
        <x:v>256730.1840791015</x:v>
      </x:c>
      <x:c r="J14" s="38" t="n">
        <x:f>J9*SUB_START</x:f>
        <x:v>305645.29390634754</x:v>
      </x:c>
      <x:c r="K14" s="38" t="n">
        <x:f>K9*SUB_START</x:f>
        <x:v>359521.1410969115</x:v>
      </x:c>
      <x:c r="L14" s="38" t="n">
        <x:f>L9*SUB_START</x:f>
        <x:v>419220.66271082946</x:v>
      </x:c>
      <x:c r="M14" s="38" t="n">
        <x:f>M9*SUB_START</x:f>
        <x:v>485730.2950443661</x:v>
      </x:c>
      <x:c r="N14" s="38" t="n">
        <x:f>N9*SUB_START</x:f>
        <x:v>560178.7955815875</x:v>
      </x:c>
      <x:c r="O14" s="38" t="n">
        <x:f>O9*SUB_START</x:f>
        <x:v>643858.8733853638</x:v>
      </x:c>
      <x:c r="P14" s="38" t="n">
        <x:f>P9*SUB_START</x:f>
        <x:v>738252.0499363797</x:v>
      </x:c>
      <x:c r="Q14" s="38" t="n">
        <x:f>Q9*SUB_START</x:f>
        <x:v>845057.2356928873</x:v>
      </x:c>
      <x:c r="R14" s="38" t="n">
        <x:f>R9*SUB_START</x:f>
        <x:v>966223.5803995685</x:v>
      </x:c>
      <x:c r="S14" s="38" t="n">
        <x:f>S9*SUB_START</x:f>
        <x:v>1103988.2388446145</x:v>
      </x:c>
      <x:c r="T14" s="38" t="n">
        <x:f>T9*SUB_START</x:f>
        <x:v>1260919.7899871618</x:v>
      </x:c>
      <x:c r="U14" s="38" t="n">
        <x:f>U9*SUB_START</x:f>
        <x:v>1439968.1580352983</x:v>
      </x:c>
      <x:c r="V14" s="38" t="n">
        <x:f>V9*SUB_START</x:f>
        <x:v>1644522.0113131525</x:v>
      </x:c>
      <x:c r="W14" s="38" t="n">
        <x:f>W9*SUB_START</x:f>
        <x:v>1878474.7611040566</x:v>
      </x:c>
      <x:c r="X14" s="38" t="n">
        <x:f>X9*SUB_START</x:f>
        <x:v>2106301.0230488535</x:v>
      </x:c>
      <x:c r="Y14" s="38" t="n">
        <x:f>Y9*SUB_START</x:f>
        <x:v>2322735.971896411</x:v>
      </x:c>
      <x:c r="Z14" s="38" t="n">
        <x:f>Z9*SUB_START</x:f>
        <x:v>2528349.1733015906</x:v>
      </x:c>
      <x:c r="AA14" s="38" t="n">
        <x:f>SUM(C14:Z14)</x:f>
        <x:v>20572122.761942603</x:v>
      </x:c>
    </x:row>
    <x:row r="15" ht="19.950000762939453" customHeight="1">
      <x:c r="B15" s="6" t="s">
        <x:v>323</x:v>
      </x:c>
      <x:c r="C15" s="36" t="n">
        <x:f t="shared" ref="C15" si="11">C10*SUB_BIZ</x:f>
        <x:v>29900</x:v>
      </x:c>
      <x:c r="D15" s="36" t="n">
        <x:f>D10*SUB_BIZ</x:f>
        <x:v>60996</x:v>
      </x:c>
      <x:c r="E15" s="36" t="n">
        <x:f>E10*SUB_BIZ</x:f>
        <x:v>93631.85</x:v>
      </x:c>
      <x:c r="F15" s="36" t="n">
        <x:f>F10*SUB_BIZ</x:f>
        <x:v>128194.75499999999</x:v>
      </x:c>
      <x:c r="G15" s="36" t="n">
        <x:f>G10*SUB_BIZ</x:f>
        <x:v>165122.18937500005</x:v>
      </x:c>
      <x:c r="H15" s="36" t="n">
        <x:f>H10*SUB_BIZ</x:f>
        <x:v>204909.82785</x:v>
      </x:c>
      <x:c r="I15" s="36" t="n">
        <x:f>I10*SUB_BIZ</x:f>
        <x:v>248120.64659281247</x:v>
      </x:c>
      <x:c r="J15" s="36" t="n">
        <x:f>J10*SUB_BIZ</x:f>
        <x:v>295395.3709187812</x:v>
      </x:c>
      <x:c r="K15" s="36" t="n">
        <x:f>K10*SUB_BIZ</x:f>
        <x:v>347464.47252679284</x:v>
      </x:c>
      <x:c r="L15" s="36" t="n">
        <x:f>L10*SUB_BIZ</x:f>
        <x:v>405161.9495774966</x:v>
      </x:c>
      <x:c r="M15" s="36" t="n">
        <x:f>M10*SUB_BIZ</x:f>
        <x:v>469441.1578772217</x:v>
      </x:c>
      <x:c r="N15" s="36" t="n">
        <x:f>N10*SUB_BIZ</x:f>
        <x:v>541393.0016287505</x:v>
      </x:c>
      <x:c r="O15" s="36" t="n">
        <x:f>O10*SUB_BIZ</x:f>
        <x:v>622266.8384395114</x:v>
      </x:c>
      <x:c r="P15" s="36" t="n">
        <x:f>P10*SUB_BIZ</x:f>
        <x:v>713494.5064435637</x:v>
      </x:c>
      <x:c r="Q15" s="36" t="n">
        <x:f>Q10*SUB_BIZ</x:f>
        <x:v>816717.9425363177</x:v>
      </x:c>
      <x:c r="R15" s="36" t="n">
        <x:f>R10*SUB_BIZ</x:f>
        <x:v>933820.931036674</x:v>
      </x:c>
      <x:c r="S15" s="36" t="n">
        <x:f>S10*SUB_BIZ</x:f>
        <x:v>1066965.602956088</x:v>
      </x:c>
      <x:c r="T15" s="36" t="n">
        <x:f>T10*SUB_BIZ</x:f>
        <x:v>1218634.3990502185</x:v>
      </x:c>
      <x:c r="U15" s="36" t="n">
        <x:f>U10*SUB_BIZ</x:f>
        <x:v>1391678.3167759327</x:v>
      </x:c>
      <x:c r="V15" s="36" t="n">
        <x:f>V10*SUB_BIZ</x:f>
        <x:v>1589372.3842670952</x:v>
      </x:c>
      <x:c r="W15" s="36" t="n">
        <x:f>W10*SUB_BIZ</x:f>
        <x:v>1815479.4458831933</x:v>
      </x:c>
      <x:c r="X15" s="36" t="n">
        <x:f>X10*SUB_BIZ</x:f>
        <x:v>2035665.4735890336</x:v>
      </x:c>
      <x:c r="Y15" s="36" t="n">
        <x:f>Y10*SUB_BIZ</x:f>
        <x:v>2244842.199909582</x:v>
      </x:c>
      <x:c r="Z15" s="36" t="n">
        <x:f>Z10*SUB_BIZ</x:f>
        <x:v>2443560.089914103</x:v>
      </x:c>
      <x:c r="AA15" s="38" t="n">
        <x:f>SUM(C15:Z15)</x:f>
        <x:v>19882229.352148168</x:v>
      </x:c>
    </x:row>
    <x:row r="16" ht="19.950000762939453" customHeight="1">
      <x:c r="B16" s="8" t="s">
        <x:v>324</x:v>
      </x:c>
      <x:c r="C16" s="38" t="n">
        <x:f t="shared" ref="C16" si="12">C11*CASUAL_ACT*(VAC_PER_EMP*VAC_AVG+INV_PER_EMP_CAS*INV_PRICE)</x:f>
        <x:v>14818.724999999999</x:v>
      </x:c>
      <x:c r="D16" s="38" t="n">
        <x:f>D11*CASUAL_ACT*(VAC_PER_EMP*VAC_AVG+INV_PER_EMP_CAS*INV_PRICE)</x:f>
        <x:v>30230.198999999997</x:v>
      </x:c>
      <x:c r="E16" s="38" t="n">
        <x:f>E11*CASUAL_ACT*(VAC_PER_EMP*VAC_AVG+INV_PER_EMP_CAS*INV_PRICE)</x:f>
        <x:v>46404.83733750001</x:v>
      </x:c>
      <x:c r="F16" s="38" t="n">
        <x:f>F11*CASUAL_ACT*(VAC_PER_EMP*VAC_AVG+INV_PER_EMP_CAS*INV_PRICE)</x:f>
        <x:v>63534.54250125</x:v>
      </x:c>
      <x:c r="G16" s="38" t="n">
        <x:f>G11*CASUAL_ACT*(VAC_PER_EMP*VAC_AVG+INV_PER_EMP_CAS*INV_PRICE)</x:f>
        <x:v>81836.13096140626</x:v>
      </x:c>
      <x:c r="H16" s="38" t="n">
        <x:f>H11*CASUAL_ACT*(VAC_PER_EMP*VAC_AVG+INV_PER_EMP_CAS*INV_PRICE)</x:f>
        <x:v>101555.26383633749</x:v>
      </x:c>
      <x:c r="I16" s="38" t="n">
        <x:f>I11*CASUAL_ACT*(VAC_PER_EMP*VAC_AVG+INV_PER_EMP_CAS*INV_PRICE)</x:f>
        <x:v>122970.95748097241</x:v>
      </x:c>
      <x:c r="J16" s="38" t="n">
        <x:f>J11*CASUAL_ACT*(VAC_PER_EMP*VAC_AVG+INV_PER_EMP_CAS*INV_PRICE)</x:f>
        <x:v>146400.76146884332</x:v>
      </x:c>
      <x:c r="K16" s="38" t="n">
        <x:f>K11*CASUAL_ACT*(VAC_PER_EMP*VAC_AVG+INV_PER_EMP_CAS*INV_PRICE)</x:f>
        <x:v>172206.70453660865</x:v>
      </x:c>
      <x:c r="L16" s="38" t="n">
        <x:f>L11*CASUAL_ACT*(VAC_PER_EMP*VAC_AVG+INV_PER_EMP_CAS*INV_PRICE)</x:f>
        <x:v>200802.12412216686</x:v>
      </x:c>
      <x:c r="M16" s="38" t="n">
        <x:f>M11*CASUAL_ACT*(VAC_PER_EMP*VAC_AVG+INV_PER_EMP_CAS*INV_PRICE)</x:f>
        <x:v>232659.51245030542</x:v>
      </x:c>
      <x:c r="N16" s="38" t="n">
        <x:f>N11*CASUAL_ACT*(VAC_PER_EMP*VAC_AVG+INV_PER_EMP_CAS*INV_PRICE)</x:f>
        <x:v>268319.5320421741</x:v>
      </x:c>
      <x:c r="O16" s="38" t="n">
        <x:f>O11*CASUAL_ACT*(VAC_PER_EMP*VAC_AVG+INV_PER_EMP_CAS*INV_PRICE)</x:f>
        <x:v>308401.37643660686</x:v>
      </x:c>
      <x:c r="P16" s="38" t="n">
        <x:f>P11*CASUAL_ACT*(VAC_PER_EMP*VAC_AVG+INV_PER_EMP_CAS*INV_PRICE)</x:f>
        <x:v>353614.67826079926</x:v>
      </x:c>
      <x:c r="Q16" s="38" t="n">
        <x:f>Q11*CASUAL_ACT*(VAC_PER_EMP*VAC_AVG+INV_PER_EMP_CAS*INV_PRICE)</x:f>
        <x:v>404773.1970906855</x:v>
      </x:c>
      <x:c r="R16" s="38" t="n">
        <x:f>R11*CASUAL_ACT*(VAC_PER_EMP*VAC_AVG+INV_PER_EMP_CAS*INV_PRICE)</x:f>
        <x:v>462810.55439051625</x:v>
      </x:c>
      <x:c r="S16" s="38" t="n">
        <x:f>S11*CASUAL_ACT*(VAC_PER_EMP*VAC_AVG+INV_PER_EMP_CAS*INV_PRICE)</x:f>
        <x:v>528798.3228985103</x:v>
      </x:c>
      <x:c r="T16" s="38" t="n">
        <x:f>T11*CASUAL_ACT*(VAC_PER_EMP*VAC_AVG+INV_PER_EMP_CAS*INV_PRICE)</x:f>
        <x:v>603966.8239152324</x:v>
      </x:c>
      <x:c r="U16" s="38" t="n">
        <x:f>U11*CASUAL_ACT*(VAC_PER_EMP*VAC_AVG+INV_PER_EMP_CAS*INV_PRICE)</x:f>
        <x:v>689729.0389553657</x:v>
      </x:c>
      <x:c r="V16" s="38" t="n">
        <x:f>V11*CASUAL_ACT*(VAC_PER_EMP*VAC_AVG+INV_PER_EMP_CAS*INV_PRICE)</x:f>
        <x:v>787708.1031788767</x:v>
      </x:c>
      <x:c r="W16" s="38" t="n">
        <x:f>W11*CASUAL_ACT*(VAC_PER_EMP*VAC_AVG+INV_PER_EMP_CAS*INV_PRICE)</x:f>
        <x:v>899768.9181169037</x:v>
      </x:c>
      <x:c r="X16" s="38" t="n">
        <x:f>X11*CASUAL_ACT*(VAC_PER_EMP*VAC_AVG+INV_PER_EMP_CAS*INV_PRICE)</x:f>
        <x:v>1008895.2122110585</x:v>
      </x:c>
      <x:c r="Y16" s="38" t="n">
        <x:f>Y11*CASUAL_ACT*(VAC_PER_EMP*VAC_AVG+INV_PER_EMP_CAS*INV_PRICE)</x:f>
        <x:v>1112565.1916005057</x:v>
      </x:c>
      <x:c r="Z16" s="38" t="n">
        <x:f>Z11*CASUAL_ACT*(VAC_PER_EMP*VAC_AVG+INV_PER_EMP_CAS*INV_PRICE)</x:f>
        <x:v>1211051.6720204805</x:v>
      </x:c>
      <x:c r="AA16" s="38" t="n">
        <x:f>SUM(C16:Z16)</x:f>
        <x:v>9853822.379813105</x:v>
      </x:c>
    </x:row>
    <x:row r="17" ht="19.950000762939453" customHeight="1">
      <x:c r="B17" s="6" t="s">
        <x:v>325</x:v>
      </x:c>
      <x:c r="C17" s="36" t="n">
        <x:f t="shared" ref="C17" si="13">C12*FINE_SHARE*FINE</x:f>
        <x:v>353.97125000000005</x:v>
      </x:c>
      <x:c r="D17" s="36" t="n">
        <x:f>D12*FINE_SHARE*FINE</x:f>
        <x:v>722.10135</x:v>
      </x:c>
      <x:c r="E17" s="36" t="n">
        <x:f>E12*FINE_SHARE*FINE</x:f>
        <x:v>1108.4609693750003</x:v>
      </x:c>
      <x:c r="F17" s="36" t="n">
        <x:f>F12*FINE_SHARE*FINE</x:f>
        <x:v>1517.6340358125</x:v>
      </x:c>
      <x:c r="G17" s="36" t="n">
        <x:f>G12*FINE_SHARE*FINE</x:f>
        <x:v>1954.799591164063</x:v>
      </x:c>
      <x:c r="H17" s="36" t="n">
        <x:f>H12*FINE_SHARE*FINE</x:f>
        <x:v>2425.825682319375</x:v>
      </x:c>
      <x:c r="I17" s="36" t="n">
        <x:f>I12*FINE_SHARE*FINE</x:f>
        <x:v>2937.377104523949</x:v>
      </x:c>
      <x:c r="J17" s="36" t="n">
        <x:f>J12*FINE_SHARE*FINE</x:f>
        <x:v>3497.0390865663753</x:v>
      </x:c>
      <x:c r="K17" s="36" t="n">
        <x:f>K12*FINE_SHARE*FINE</x:f>
        <x:v>4113.459320096975</x:v>
      </x:c>
      <x:c r="L17" s="36" t="n">
        <x:f>L12*FINE_SHARE*FINE</x:f>
        <x:v>4796.511095129882</x:v>
      </x:c>
      <x:c r="M17" s="36" t="n">
        <x:f>M12*FINE_SHARE*FINE</x:f>
        <x:v>5557.4807175668075</x:v>
      </x:c>
      <x:c r="N17" s="36" t="n">
        <x:f>N12*FINE_SHARE*FINE</x:f>
        <x:v>6409.282860460898</x:v>
      </x:c>
      <x:c r="O17" s="36" t="n">
        <x:f>O12*FINE_SHARE*FINE</x:f>
        <x:v>7366.708048026148</x:v>
      </x:c>
      <x:c r="P17" s="36" t="n">
        <x:f>P12*FINE_SHARE*FINE</x:f>
        <x:v>8446.70710080138</x:v>
      </x:c>
      <x:c r="Q17" s="36" t="n">
        <x:f>Q12*FINE_SHARE*FINE</x:f>
        <x:v>9668.718094214335</x:v>
      </x:c>
      <x:c r="R17" s="36" t="n">
        <x:f>R12*FINE_SHARE*FINE</x:f>
        <x:v>11055.042215224592</x:v>
      </x:c>
      <x:c r="S17" s="36" t="n">
        <x:f>S12*FINE_SHARE*FINE</x:f>
        <x:v>12631.27585904248</x:v>
      </x:c>
      <x:c r="T17" s="36" t="n">
        <x:f>T12*FINE_SHARE*FINE</x:f>
        <x:v>14426.807408856344</x:v>
      </x:c>
      <x:c r="U17" s="36" t="n">
        <x:f>U12*FINE_SHARE*FINE</x:f>
        <x:v>16475.388407594415</x:v>
      </x:c>
      <x:c r="V17" s="36" t="n">
        <x:f>V12*FINE_SHARE*FINE</x:f>
        <x:v>18815.790286772713</x:v>
      </x:c>
      <x:c r="W17" s="36" t="n">
        <x:f>W12*FINE_SHARE*FINE</x:f>
        <x:v>21492.559491925796</x:v>
      </x:c>
      <x:c r="X17" s="36" t="n">
        <x:f>X12*FINE_SHARE*FINE</x:f>
        <x:v>24099.232517329507</x:v>
      </x:c>
      <x:c r="Y17" s="36" t="n">
        <x:f>Y12*FINE_SHARE*FINE</x:f>
        <x:v>26575.571891463027</x:v>
      </x:c>
      <x:c r="Z17" s="36" t="n">
        <x:f>Z12*FINE_SHARE*FINE</x:f>
        <x:v>28928.094296889878</x:v>
      </x:c>
      <x:c r="AA17" s="38" t="n">
        <x:f>SUM(C17:Z17)</x:f>
        <x:v>235375.83868115643</x:v>
      </x:c>
    </x:row>
    <x:row r="18" ht="19.950000762939453" customHeight="1">
      <x:c r="B18" s="47" t="s">
        <x:v>326</x:v>
      </x:c>
      <x:c r="C18" s="48" t="n">
        <x:f t="shared" ref="C18" si="14">SUM(C14:C17)</x:f>
        <x:v>76010.19625000001</x:v>
      </x:c>
      <x:c r="D18" s="48" t="n">
        <x:f>SUM(D14:D17)</x:f>
        <x:v>155060.80035</x:v>
      </x:c>
      <x:c r="E18" s="48" t="n">
        <x:f>SUM(E14:E17)</x:f>
        <x:v>238025.92955687505</x:v>
      </x:c>
      <x:c r="F18" s="48" t="n">
        <x:f>SUM(F14:F17)</x:f>
        <x:v>325889.9159120625</x:v>
      </x:c>
      <x:c r="G18" s="48" t="n">
        <x:f>SUM(G14:G17)</x:f>
        <x:v>419764.8835994454</x:v>
      </x:c>
      <x:c r="H18" s="48" t="n">
        <x:f>SUM(H14:H17)</x:f>
        <x:v>520910.91064990684</x:v>
      </x:c>
      <x:c r="I18" s="48" t="n">
        <x:f>SUM(I14:I17)</x:f>
        <x:v>630759.1652574104</x:v>
      </x:c>
      <x:c r="J18" s="48" t="n">
        <x:f>SUM(J14:J17)</x:f>
        <x:v>750938.4653805385</x:v>
      </x:c>
      <x:c r="K18" s="48" t="n">
        <x:f>SUM(K14:K17)</x:f>
        <x:v>883305.77748041</x:v>
      </x:c>
      <x:c r="L18" s="48" t="n">
        <x:f>SUM(L14:L17)</x:f>
        <x:v>1029981.2475056228</x:v>
      </x:c>
      <x:c r="M18" s="48" t="n">
        <x:f>SUM(M14:M17)</x:f>
        <x:v>1193388.44608946</x:v>
      </x:c>
      <x:c r="N18" s="48" t="n">
        <x:f>SUM(N14:N17)</x:f>
        <x:v>1376300.6121129731</x:v>
      </x:c>
      <x:c r="O18" s="48" t="n">
        <x:f>SUM(O14:O17)</x:f>
        <x:v>1581893.7963095084</x:v>
      </x:c>
      <x:c r="P18" s="48" t="n">
        <x:f>SUM(P14:P17)</x:f>
        <x:v>1813807.941741544</x:v>
      </x:c>
      <x:c r="Q18" s="48" t="n">
        <x:f>SUM(Q14:Q17)</x:f>
        <x:v>2076217.093414105</x:v>
      </x:c>
      <x:c r="R18" s="48" t="n">
        <x:f>SUM(R14:R17)</x:f>
        <x:v>2373910.1080419836</x:v>
      </x:c>
      <x:c r="S18" s="48" t="n">
        <x:f>SUM(S14:S17)</x:f>
        <x:v>2712383.4405582557</x:v>
      </x:c>
      <x:c r="T18" s="48" t="n">
        <x:f>SUM(T14:T17)</x:f>
        <x:v>3097947.820361469</x:v>
      </x:c>
      <x:c r="U18" s="48" t="n">
        <x:f>SUM(U14:U17)</x:f>
        <x:v>3537850.902174191</x:v>
      </x:c>
      <x:c r="V18" s="48" t="n">
        <x:f>SUM(V14:V17)</x:f>
        <x:v>4040418.2890458973</x:v>
      </x:c>
      <x:c r="W18" s="48" t="n">
        <x:f>SUM(W14:W17)</x:f>
        <x:v>4615215.684596079</x:v>
      </x:c>
      <x:c r="X18" s="48" t="n">
        <x:f>SUM(X14:X17)</x:f>
        <x:v>5174960.941366275</x:v>
      </x:c>
      <x:c r="Y18" s="48" t="n">
        <x:f>SUM(Y14:Y17)</x:f>
        <x:v>5706718.935297961</x:v>
      </x:c>
      <x:c r="Z18" s="48" t="n">
        <x:f>SUM(Z14:Z17)</x:f>
        <x:v>6211889.029533065</x:v>
      </x:c>
      <x:c r="AA18" s="38" t="n">
        <x:f>SUM(C18:Z18)</x:f>
        <x:v>50543550.33258504</x:v>
      </x:c>
    </x:row>
    <x:row r="19" ht="19.950000762939453" customHeight="1">
      <x:c r="B19" s="6" t="s">
        <x:v>327</x:v>
      </x:c>
      <x:c r="C19" s="36" t="n">
        <x:f>C18</x:f>
        <x:v>76010.19625000001</x:v>
      </x:c>
      <x:c r="D19" s="36" t="n">
        <x:f t="shared" ref="D19" si="15">C19+D18</x:f>
        <x:v>231070.9966</x:v>
      </x:c>
      <x:c r="E19" s="36" t="n">
        <x:f>D19+E18</x:f>
        <x:v>469096.9261568751</x:v>
      </x:c>
      <x:c r="F19" s="36" t="n">
        <x:f>E19+F18</x:f>
        <x:v>794986.8420689376</x:v>
      </x:c>
      <x:c r="G19" s="36" t="n">
        <x:f>F19+G18</x:f>
        <x:v>1214751.725668383</x:v>
      </x:c>
      <x:c r="H19" s="36" t="n">
        <x:f>G19+H18</x:f>
        <x:v>1735662.63631829</x:v>
      </x:c>
      <x:c r="I19" s="36" t="n">
        <x:f>H19+I18</x:f>
        <x:v>2366421.8015757003</x:v>
      </x:c>
      <x:c r="J19" s="36" t="n">
        <x:f>I19+J18</x:f>
        <x:v>3117360.266956239</x:v>
      </x:c>
      <x:c r="K19" s="36" t="n">
        <x:f>J19+K18</x:f>
        <x:v>4000666.044436649</x:v>
      </x:c>
      <x:c r="L19" s="36" t="n">
        <x:f>K19+L18</x:f>
        <x:v>5030647.291942271</x:v>
      </x:c>
      <x:c r="M19" s="36" t="n">
        <x:f>L19+M18</x:f>
        <x:v>6224035.738031732</x:v>
      </x:c>
      <x:c r="N19" s="36" t="n">
        <x:f>M19+N18</x:f>
        <x:v>7600336.350144705</x:v>
      </x:c>
      <x:c r="O19" s="36" t="n">
        <x:f>N19+O18</x:f>
        <x:v>9182230.146454213</x:v>
      </x:c>
      <x:c r="P19" s="36" t="n">
        <x:f>O19+P18</x:f>
        <x:v>10996038.088195758</x:v>
      </x:c>
      <x:c r="Q19" s="36" t="n">
        <x:f>P19+Q18</x:f>
        <x:v>13072255.181609863</x:v>
      </x:c>
      <x:c r="R19" s="36" t="n">
        <x:f>Q19+R18</x:f>
        <x:v>15446165.289651847</x:v>
      </x:c>
      <x:c r="S19" s="36" t="n">
        <x:f>R19+S18</x:f>
        <x:v>18158548.730210103</x:v>
      </x:c>
      <x:c r="T19" s="36" t="n">
        <x:f>S19+T18</x:f>
        <x:v>21256496.550571572</x:v>
      </x:c>
      <x:c r="U19" s="36" t="n">
        <x:f>T19+U18</x:f>
        <x:v>24794347.45274576</x:v>
      </x:c>
      <x:c r="V19" s="36" t="n">
        <x:f>U19+V18</x:f>
        <x:v>28834765.741791658</x:v>
      </x:c>
      <x:c r="W19" s="36" t="n">
        <x:f>V19+W18</x:f>
        <x:v>33449981.42638774</x:v>
      </x:c>
      <x:c r="X19" s="36" t="n">
        <x:f>W19+X18</x:f>
        <x:v>38624942.36775401</x:v>
      </x:c>
      <x:c r="Y19" s="36" t="n">
        <x:f>X19+Y18</x:f>
        <x:v>44331661.30305197</x:v>
      </x:c>
      <x:c r="Z19" s="36" t="n">
        <x:f>Y19+Z18</x:f>
        <x:v>50543550.33258504</x:v>
      </x:c>
      <x:c r="AA19" s="36" t="n">
        <x:f>Z19</x:f>
        <x:v>50543550.33258504</x:v>
      </x:c>
    </x:row>
    <x:row r="22">
      <x:c r="B22" s="10" t="s">
        <x:v>328</x:v>
      </x:c>
    </x:row>
    <x:row r="23">
      <x:c r="B23" s="10" t="s">
        <x:v>329</x:v>
      </x:c>
      <x:c r="C23" s="10" t="s">
        <x:v>12</x:v>
      </x:c>
      <x:c r="D23" s="10" t="s">
        <x:v>330</x:v>
      </x:c>
    </x:row>
    <x:row r="24">
      <x:c r="B24" s="10">
        <x:v>1</x:v>
      </x:c>
      <x:c r="C24" s="11" t="n">
        <x:f>'Выручка'!C18</x:f>
        <x:v>76010.19625000001</x:v>
      </x:c>
      <x:c r="D24" s="11" t="n">
        <x:f>'Затраты'!C15</x:f>
        <x:v>-703977.239995</x:v>
      </x:c>
    </x:row>
    <x:row r="25">
      <x:c r="B25" s="10">
        <x:v>2</x:v>
      </x:c>
      <x:c r="C25" s="11" t="n">
        <x:f>'Выручка'!D18</x:f>
        <x:v>155060.80035</x:v>
      </x:c>
      <x:c r="D25" s="11" t="n">
        <x:f>'Затраты'!D15</x:f>
        <x:v>-637511.5695898</x:v>
      </x:c>
    </x:row>
    <x:row r="26">
      <x:c r="B26" s="10">
        <x:v>3</x:v>
      </x:c>
      <x:c r="C26" s="11" t="n">
        <x:f>'Выручка'!E18</x:f>
        <x:v>238025.92955687505</x:v>
      </x:c>
      <x:c r="D26" s="11" t="n">
        <x:f>'Затраты'!E15</x:f>
        <x:v>-568686.0270443425</x:v>
      </x:c>
    </x:row>
    <x:row r="27">
      <x:c r="B27" s="10">
        <x:v>4</x:v>
      </x:c>
      <x:c r="C27" s="11" t="n">
        <x:f>'Выручка'!F18</x:f>
        <x:v>325889.9159120625</x:v>
      </x:c>
      <x:c r="D27" s="11" t="n">
        <x:f>'Затраты'!F15</x:f>
        <x:v>-496766.13261656277</x:v>
      </x:c>
    </x:row>
    <x:row r="28">
      <x:c r="B28" s="10">
        <x:v>5</x:v>
      </x:c>
      <x:c r="C28" s="11" t="n">
        <x:f>'Выручка'!G18</x:f>
        <x:v>419764.8835994454</x:v>
      </x:c>
      <x:c r="D28" s="11" t="n">
        <x:f>'Затраты'!G15</x:f>
        <x:v>-420926.2595491375</x:v>
      </x:c>
    </x:row>
    <x:row r="29">
      <x:c r="B29" s="10">
        <x:v>6</x:v>
      </x:c>
      <x:c r="C29" s="11" t="n">
        <x:f>'Выручка'!H18</x:f>
        <x:v>520910.91064990684</x:v>
      </x:c>
      <x:c r="D29" s="11" t="n">
        <x:f>'Затраты'!H15</x:f>
        <x:v>-340235.0107698941</x:v>
      </x:c>
    </x:row>
    <x:row r="30">
      <x:c r="B30" s="10">
        <x:v>7</x:v>
      </x:c>
      <x:c r="C30" s="11" t="n">
        <x:f>'Выручка'!I18</x:f>
        <x:v>630759.1652574104</x:v>
      </x:c>
      <x:c r="D30" s="11" t="n">
        <x:f>'Затраты'!I15</x:f>
        <x:v>-803638.4496596449</x:v>
      </x:c>
    </x:row>
    <x:row r="31">
      <x:c r="B31" s="10">
        <x:v>8</x:v>
      </x:c>
      <x:c r="C31" s="11" t="n">
        <x:f>'Выручка'!J18</x:f>
        <x:v>750938.4653805385</x:v>
      </x:c>
      <x:c r="D31" s="11" t="n">
        <x:f>'Затраты'!J15</x:f>
        <x:v>-709940.8606194451</x:v>
      </x:c>
    </x:row>
    <x:row r="32">
      <x:c r="B32" s="10">
        <x:v>9</x:v>
      </x:c>
      <x:c r="C32" s="11" t="n">
        <x:f>'Выручка'!K18</x:f>
        <x:v>883305.77748041</x:v>
      </x:c>
      <x:c r="D32" s="11" t="n">
        <x:f>'Затраты'!K15</x:f>
        <x:v>-607782.6666479725</x:v>
      </x:c>
    </x:row>
    <x:row r="33">
      <x:c r="B33" s="10">
        <x:v>10</x:v>
      </x:c>
      <x:c r="C33" s="11" t="n">
        <x:f>'Выручка'!L18</x:f>
        <x:v>1029981.2475056228</x:v>
      </x:c>
      <x:c r="D33" s="11" t="n">
        <x:f>'Затраты'!L15</x:f>
        <x:v>-495615.0753342983</x:v>
      </x:c>
    </x:row>
    <x:row r="34">
      <x:c r="B34" s="10">
        <x:v>11</x:v>
      </x:c>
      <x:c r="C34" s="11" t="n">
        <x:f>'Выручка'!M18</x:f>
        <x:v>1193388.44608946</x:v>
      </x:c>
      <x:c r="D34" s="11" t="n">
        <x:f>'Затраты'!M15</x:f>
        <x:v>-371670.9604894165</x:v>
      </x:c>
    </x:row>
    <x:row r="35">
      <x:c r="B35" s="10">
        <x:v>12</x:v>
      </x:c>
      <x:c r="C35" s="11" t="n">
        <x:f>'Выручка'!N18</x:f>
        <x:v>1376300.6121129731</x:v>
      </x:c>
      <x:c r="D35" s="11" t="n">
        <x:f>'Затраты'!N15</x:f>
        <x:v>-233931.41282535368</x:v>
      </x:c>
    </x:row>
    <x:row r="36">
      <x:c r="B36" s="10">
        <x:v>13</x:v>
      </x:c>
      <x:c r="C36" s="11" t="n">
        <x:f>'Выручка'!O18</x:f>
        <x:v>1581893.7963095084</x:v>
      </x:c>
      <x:c r="D36" s="11" t="n">
        <x:f>'Затраты'!O15</x:f>
        <x:v>-80087.30819885572</x:v>
      </x:c>
    </x:row>
    <x:row r="37">
      <x:c r="B37" s="10">
        <x:v>14</x:v>
      </x:c>
      <x:c r="C37" s="11" t="n">
        <x:f>'Выручка'!P18</x:f>
        <x:v>1813807.941741544</x:v>
      </x:c>
      <x:c r="D37" s="11" t="n">
        <x:f>'Затраты'!P15</x:f>
        <x:v>92504.855693802</x:v>
      </x:c>
    </x:row>
    <x:row r="38">
      <x:c r="B38" s="10">
        <x:v>15</x:v>
      </x:c>
      <x:c r="C38" s="11" t="n">
        <x:f>'Выручка'!Q18</x:f>
        <x:v>2076217.093414105</x:v>
      </x:c>
      <x:c r="D38" s="11" t="n">
        <x:f>'Затраты'!Q15</x:f>
        <x:v>286873.7155639343</x:v>
      </x:c>
    </x:row>
    <x:row r="39">
      <x:c r="B39" s="10">
        <x:v>16</x:v>
      </x:c>
      <x:c r="C39" s="11" t="n">
        <x:f>'Выручка'!R18</x:f>
        <x:v>2373910.1080419836</x:v>
      </x:c>
      <x:c r="D39" s="11" t="n">
        <x:f>'Затраты'!R15</x:f>
        <x:v>506491.38223848306</x:v>
      </x:c>
    </x:row>
    <x:row r="40">
      <x:c r="B40" s="10">
        <x:v>17</x:v>
      </x:c>
      <x:c r="C40" s="11" t="n">
        <x:f>'Выручка'!S18</x:f>
        <x:v>2712383.4405582557</x:v>
      </x:c>
      <x:c r="D40" s="11" t="n">
        <x:f>'Затраты'!S15</x:f>
        <x:v>755340.5028469167</x:v>
      </x:c>
    </x:row>
    <x:row r="41">
      <x:c r="B41" s="10">
        <x:v>18</x:v>
      </x:c>
      <x:c r="C41" s="11" t="n">
        <x:f>'Выручка'!T18</x:f>
        <x:v>3097947.820361469</x:v>
      </x:c>
      <x:c r="D41" s="11" t="n">
        <x:f>'Затраты'!T15</x:f>
        <x:v>1037991.3552826806</x:v>
      </x:c>
    </x:row>
    <x:row r="42">
      <x:c r="B42" s="10">
        <x:v>19</x:v>
      </x:c>
      <x:c r="C42" s="11" t="n">
        <x:f>'Выручка'!U18</x:f>
        <x:v>3537850.902174191</x:v>
      </x:c>
      <x:c r="D42" s="11" t="n">
        <x:f>'Затраты'!U15</x:f>
        <x:v>1359690.481133074</x:v>
      </x:c>
    </x:row>
    <x:row r="43">
      <x:c r="B43" s="10">
        <x:v>20</x:v>
      </x:c>
      <x:c r="C43" s="11" t="n">
        <x:f>'Выручка'!V18</x:f>
        <x:v>4040418.2890458973</x:v>
      </x:c>
      <x:c r="D43" s="11" t="n">
        <x:f>'Затраты'!V15</x:f>
        <x:v>1726462.5891328277</x:v>
      </x:c>
    </x:row>
    <x:row r="44">
      <x:c r="B44" s="10">
        <x:v>21</x:v>
      </x:c>
      <x:c r="C44" s="11" t="n">
        <x:f>'Выручка'!W18</x:f>
        <x:v>4615215.684596079</x:v>
      </x:c>
      <x:c r="D44" s="11" t="n">
        <x:f>'Затраты'!W15</x:f>
        <x:v>2145227.7209407534</x:v>
      </x:c>
    </x:row>
    <x:row r="45">
      <x:c r="B45" s="10">
        <x:v>22</x:v>
      </x:c>
      <x:c r="C45" s="11" t="n">
        <x:f>'Выручка'!X18</x:f>
        <x:v>5174960.941366275</x:v>
      </x:c>
      <x:c r="D45" s="11" t="n">
        <x:f>'Затраты'!X15</x:f>
        <x:v>2662952.44928558</x:v>
      </x:c>
    </x:row>
    <x:row r="46">
      <x:c r="B46" s="10">
        <x:v>23</x:v>
      </x:c>
      <x:c r="C46" s="11" t="n">
        <x:f>'Выручка'!Y18</x:f>
        <x:v>5706718.935297961</x:v>
      </x:c>
      <x:c r="D46" s="11" t="n">
        <x:f>'Затраты'!Y15</x:f>
        <x:v>3172411.5308733014</x:v>
      </x:c>
    </x:row>
    <x:row r="47">
      <x:c r="B47" s="10">
        <x:v>24</x:v>
      </x:c>
      <x:c r="C47" s="11" t="n">
        <x:f>'Выручка'!Z18</x:f>
        <x:v>6211889.029533065</x:v>
      </x:c>
      <x:c r="D47" s="11" t="n">
        <x:f>'Затраты'!Z15</x:f>
        <x:v>3656397.658381638</x:v>
      </x:c>
    </x:row>
  </x:sheetData>
  <x:mergeCells>
    <x:mergeCell ref="B2:L2"/>
  </x:mergeCells>
  <x:pageMargins left="0.7" right="0.7" top="0.75" bottom="0.75" header="0.3" footer="0.3"/>
  <x:drawing xmlns:r="http://schemas.openxmlformats.org/officeDocument/2006/relationships" r:id="rId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30" customWidth="1"/>
    <x:col min="3" max="26" width="12" customWidth="1"/>
    <x:col min="27" max="27" width="13" customWidth="1"/>
  </x:cols>
  <x:sheetData>
    <x:row r="1" ht="15" customHeight="1"/>
    <x:row r="2" ht="31.950000762939453" customHeight="1">
      <x:c r="B2" s="63" t="s">
        <x:v>331</x:v>
      </x:c>
      <x:c r="C2" s="62"/>
      <x:c r="D2" s="62"/>
      <x:c r="E2" s="62"/>
      <x:c r="F2" s="62"/>
      <x:c r="G2" s="62"/>
      <x:c r="H2" s="62"/>
      <x:c r="I2" s="62"/>
      <x:c r="J2" s="62"/>
      <x:c r="K2" s="62"/>
      <x:c r="L2" s="62"/>
    </x:row>
    <x:row r="3" ht="7.949999809265137" customHeight="1"/>
    <x:row r="4" ht="28.049999237060547" customHeight="1">
      <x:c r="B4" s="12" t="s">
        <x:v>332</x:v>
      </x:c>
      <x:c r="C4" s="46">
        <x:v>1</x:v>
      </x:c>
      <x:c r="D4" s="46">
        <x:v>2</x:v>
      </x:c>
      <x:c r="E4" s="46">
        <x:v>3</x:v>
      </x:c>
      <x:c r="F4" s="46">
        <x:v>4</x:v>
      </x:c>
      <x:c r="G4" s="46">
        <x:v>5</x:v>
      </x:c>
      <x:c r="H4" s="46">
        <x:v>6</x:v>
      </x:c>
      <x:c r="I4" s="46">
        <x:v>7</x:v>
      </x:c>
      <x:c r="J4" s="46">
        <x:v>8</x:v>
      </x:c>
      <x:c r="K4" s="46">
        <x:v>9</x:v>
      </x:c>
      <x:c r="L4" s="46">
        <x:v>10</x:v>
      </x:c>
      <x:c r="M4" s="46">
        <x:v>11</x:v>
      </x:c>
      <x:c r="N4" s="46">
        <x:v>12</x:v>
      </x:c>
      <x:c r="O4" s="46">
        <x:v>13</x:v>
      </x:c>
      <x:c r="P4" s="46">
        <x:v>14</x:v>
      </x:c>
      <x:c r="Q4" s="46">
        <x:v>15</x:v>
      </x:c>
      <x:c r="R4" s="46">
        <x:v>16</x:v>
      </x:c>
      <x:c r="S4" s="46">
        <x:v>17</x:v>
      </x:c>
      <x:c r="T4" s="46">
        <x:v>18</x:v>
      </x:c>
      <x:c r="U4" s="46">
        <x:v>19</x:v>
      </x:c>
      <x:c r="V4" s="46">
        <x:v>20</x:v>
      </x:c>
      <x:c r="W4" s="46">
        <x:v>21</x:v>
      </x:c>
      <x:c r="X4" s="46">
        <x:v>22</x:v>
      </x:c>
      <x:c r="Y4" s="46">
        <x:v>23</x:v>
      </x:c>
      <x:c r="Z4" s="46">
        <x:v>24</x:v>
      </x:c>
      <x:c r="AA4" s="12" t="s">
        <x:v>333</x:v>
      </x:c>
    </x:row>
    <x:row r="5" ht="19.950000762939453" customHeight="1">
      <x:c r="B5" s="6" t="s">
        <x:v>334</x:v>
      </x:c>
      <x:c r="C5" s="49" t="n">
        <x:f>Выручка!C12</x:f>
        <x:v>17.7875</x:v>
      </x:c>
      <x:c r="D5" s="49" t="n">
        <x:f>Выручка!D12</x:f>
        <x:v>36.286500000000004</x:v>
      </x:c>
      <x:c r="E5" s="49" t="n">
        <x:f>Выручка!E12</x:f>
        <x:v>55.70155625000001</x:v>
      </x:c>
      <x:c r="F5" s="49" t="n">
        <x:f>Выручка!F12</x:f>
        <x:v>76.263016875</x:v>
      </x:c>
      <x:c r="G5" s="49" t="n">
        <x:f>Выручка!G12</x:f>
        <x:v>98.23113523437502</x:v>
      </x:c>
      <x:c r="H5" s="49" t="n">
        <x:f>Выручка!H12</x:f>
        <x:v>121.90078805625001</x:v>
      </x:c>
      <x:c r="I5" s="49" t="n">
        <x:f>Выручка!I12</x:f>
        <x:v>147.6068896745703</x:v>
      </x:c>
      <x:c r="J5" s="49" t="n">
        <x:f>Выручка!J12</x:f>
        <x:v>175.7306073651445</x:v>
      </x:c>
      <x:c r="K5" s="49" t="n">
        <x:f>Выручка!K12</x:f>
        <x:v>206.70649849733542</x:v>
      </x:c>
      <x:c r="L5" s="49" t="n">
        <x:f>Выручка!L12</x:f>
        <x:v>241.030708297984</x:v>
      </x:c>
      <x:c r="M5" s="49" t="n">
        <x:f>Выручка!M12</x:f>
        <x:v>279.2703878174275</x:v>
      </x:c>
      <x:c r="N5" s="49" t="n">
        <x:f>Выручка!N12</x:f>
        <x:v>322.0745156010501</x:v>
      </x:c>
      <x:c r="O5" s="49" t="n">
        <x:f>Выручка!O12</x:f>
        <x:v>370.1863340716657</x:v>
      </x:c>
      <x:c r="P5" s="49" t="n">
        <x:f>Выручка!P12</x:f>
        <x:v>424.4576432563508</x:v>
      </x:c>
      <x:c r="Q5" s="49" t="n">
        <x:f>Выручка!Q12</x:f>
        <x:v>485.8652308650419</x:v>
      </x:c>
      <x:c r="R5" s="49" t="n">
        <x:f>Выручка!R12</x:f>
        <x:v>555.5297595590247</x:v>
      </x:c>
      <x:c r="S5" s="49" t="n">
        <x:f>Выручка!S12</x:f>
        <x:v>634.7374803538935</x:v>
      </x:c>
      <x:c r="T5" s="49" t="n">
        <x:f>Выручка!T12</x:f>
        <x:v>724.9651964249418</x:v>
      </x:c>
      <x:c r="U5" s="49" t="n">
        <x:f>Выручка!U12</x:f>
        <x:v>827.9089652057494</x:v>
      </x:c>
      <x:c r="V5" s="49" t="n">
        <x:f>Выручка!V12</x:f>
        <x:v>945.5170998378246</x:v>
      </x:c>
      <x:c r="W5" s="49" t="n">
        <x:f>Выручка!W12</x:f>
        <x:v>1080.0281151721506</x:v>
      </x:c>
      <x:c r="X5" s="49" t="n">
        <x:f>Выручка!X12</x:f>
        <x:v>1211.016709413543</x:v>
      </x:c>
      <x:c r="Y5" s="49" t="n">
        <x:f>Выручка!Y12</x:f>
        <x:v>1335.4558739428658</x:v>
      </x:c>
      <x:c r="Z5" s="49" t="n">
        <x:f>Выручка!Z12</x:f>
        <x:v>1453.6730802457225</x:v>
      </x:c>
      <x:c r="AA5" s="49"/>
    </x:row>
    <x:row r="6" ht="19.950000762939453" customHeight="1">
      <x:c r="B6" s="8" t="s">
        <x:v>335</x:v>
      </x:c>
      <x:c r="C6" s="50" t="n">
        <x:f>Выручка!C13</x:f>
        <x:v>672.8</x:v>
      </x:c>
      <x:c r="D6" s="50" t="n">
        <x:f>Выручка!D13</x:f>
        <x:v>1372.512</x:v>
      </x:c>
      <x:c r="E6" s="50" t="n">
        <x:f>Выручка!E13</x:f>
        <x:v>2106.8732000000005</x:v>
      </x:c>
      <x:c r="F6" s="50" t="n">
        <x:f>Выручка!F13</x:f>
        <x:v>2884.5963599999995</x:v>
      </x:c>
      <x:c r="G6" s="50" t="n">
        <x:f>Выручка!G13</x:f>
        <x:v>3715.525385000001</x:v>
      </x:c>
      <x:c r="H6" s="50" t="n">
        <x:f>Выручка!H13</x:f>
        <x:v>4610.8137852</x:v>
      </x:c>
      <x:c r="I6" s="50" t="n">
        <x:f>Выручка!I13</x:f>
        <x:v>5583.1294658075</x:v>
      </x:c>
      <x:c r="J6" s="50" t="n">
        <x:f>Выручка!J13</x:f>
        <x:v>6646.889817864749</x:v>
      </x:c>
      <x:c r="K6" s="50" t="n">
        <x:f>Выручка!K13</x:f>
        <x:v>7818.531676121279</x:v>
      </x:c>
      <x:c r="L6" s="50" t="n">
        <x:f>Выручка!L13</x:f>
        <x:v>9116.821393837448</x:v>
      </x:c>
      <x:c r="M6" s="50" t="n">
        <x:f>Выручка!M13</x:f>
        <x:v>10563.211070896145</x:v>
      </x:c>
      <x:c r="N6" s="50" t="n">
        <x:f>Выручка!N13</x:f>
        <x:v>12182.247876114492</x:v>
      </x:c>
      <x:c r="O6" s="50" t="n">
        <x:f>Выручка!O13</x:f>
        <x:v>14002.044444886395</x:v>
      </x:c>
      <x:c r="P6" s="50" t="n">
        <x:f>Выручка!P13</x:f>
        <x:v>16054.819529606342</x:v>
      </x:c>
      <x:c r="Q6" s="50" t="n">
        <x:f>Выручка!Q13</x:f>
        <x:v>18377.519456134938</x:v>
      </x:c>
      <x:c r="R6" s="50" t="n">
        <x:f>Выручка!R13</x:f>
        <x:v>21012.53252178844</x:v>
      </x:c>
      <x:c r="S6" s="50" t="n">
        <x:f>Выручка!S13</x:f>
        <x:v>24008.510289928294</x:v>
      </x:c>
      <x:c r="T6" s="50" t="n">
        <x:f>Выручка!T13</x:f>
        <x:v>27421.31182879555</x:v>
      </x:c>
      <x:c r="U6" s="50" t="n">
        <x:f>Выручка!U13</x:f>
        <x:v>31315.089348724</x:v>
      </x:c>
      <x:c r="V6" s="50" t="n">
        <x:f>Выручка!V13</x:f>
        <x:v>35763.53645936126</x:v>
      </x:c>
      <x:c r="W6" s="50" t="n">
        <x:f>Выручка!W13</x:f>
        <x:v>40851.323451177675</x:v>
      </x:c>
      <x:c r="X6" s="50" t="n">
        <x:f>Выручка!X13</x:f>
        <x:v>45805.87727861879</x:v>
      </x:c>
      <x:c r="Y6" s="50" t="n">
        <x:f>Выручка!Y13</x:f>
        <x:v>50512.70341468785</x:v>
      </x:c>
      <x:c r="Z6" s="50" t="n">
        <x:f>Выручка!Z13</x:f>
        <x:v>54984.18824395345</x:v>
      </x:c>
      <x:c r="AA6" s="50"/>
    </x:row>
    <x:row r="7" ht="19.950000762939453" customHeight="1">
      <x:c r="B7" s="6" t="s">
        <x:v>336</x:v>
      </x:c>
      <x:c r="C7" s="36" t="n">
        <x:f>Выручка!C8*CHATS_PER_EMP</x:f>
        <x:v>25</x:v>
      </x:c>
      <x:c r="D7" s="36" t="n">
        <x:f>Выручка!D8*CHATS_PER_EMP</x:f>
        <x:v>51</x:v>
      </x:c>
      <x:c r="E7" s="36" t="n">
        <x:f>Выручка!E8*CHATS_PER_EMP</x:f>
        <x:v>78.28750000000001</x:v>
      </x:c>
      <x:c r="F7" s="36" t="n">
        <x:f>Выручка!F8*CHATS_PER_EMP</x:f>
        <x:v>107.18625</x:v>
      </x:c>
      <x:c r="G7" s="36" t="n">
        <x:f>Выручка!G8*CHATS_PER_EMP</x:f>
        <x:v>138.06203125000002</x:v>
      </x:c>
      <x:c r="H7" s="36" t="n">
        <x:f>Выручка!H8*CHATS_PER_EMP</x:f>
        <x:v>171.3292875</x:v>
      </x:c>
      <x:c r="I7" s="36" t="n">
        <x:f>Выручка!I8*CHATS_PER_EMP</x:f>
        <x:v>207.45873460937497</x:v>
      </x:c>
      <x:c r="J7" s="36" t="n">
        <x:f>Выручка!J8*CHATS_PER_EMP</x:f>
        <x:v>246.98609608593742</x:v>
      </x:c>
      <x:c r="K7" s="36" t="n">
        <x:f>Выручка!K8*CHATS_PER_EMP</x:f>
        <x:v>290.52213421972647</x:v>
      </x:c>
      <x:c r="L7" s="36" t="n">
        <x:f>Выручка!L8*CHATS_PER_EMP</x:f>
        <x:v>338.76417188753896</x:v>
      </x:c>
      <x:c r="M7" s="36" t="n">
        <x:f>Выручка!M8*CHATS_PER_EMP</x:f>
        <x:v>392.50932932878067</x:v>
      </x:c>
      <x:c r="N7" s="36" t="n">
        <x:f>Выручка!N8*CHATS_PER_EMP</x:f>
        <x:v>452.669733803303</x:v>
      </x:c>
      <x:c r="O7" s="36" t="n">
        <x:f>Выручка!O8*CHATS_PER_EMP</x:f>
        <x:v>520.2899986952435</x:v>
      </x:c>
      <x:c r="P7" s="36" t="n">
        <x:f>Выручка!P8*CHATS_PER_EMP</x:f>
        <x:v>596.5673130799028</x:v>
      </x:c>
      <x:c r="Q7" s="36" t="n">
        <x:f>Выручка!Q8*CHATS_PER_EMP</x:f>
        <x:v>682.8745338932423</x:v>
      </x:c>
      <x:c r="R7" s="36" t="n">
        <x:f>Выручка!R8*CHATS_PER_EMP</x:f>
        <x:v>780.786731636015</x:v>
      </x:c>
      <x:c r="S7" s="36" t="n">
        <x:f>Выручка!S8*CHATS_PER_EMP</x:f>
        <x:v>892.1117081572643</x:v>
      </x:c>
      <x:c r="T7" s="36" t="n">
        <x:f>Выручка!T8*CHATS_PER_EMP</x:f>
        <x:v>1018.9250828179084</x:v>
      </x:c>
      <x:c r="U7" s="36" t="n">
        <x:f>Выручка!U8*CHATS_PER_EMP</x:f>
        <x:v>1163.6106327557966</x:v>
      </x:c>
      <x:c r="V7" s="36" t="n">
        <x:f>Выручка!V8*CHATS_PER_EMP</x:f>
        <x:v>1328.906675808608</x:v>
      </x:c>
      <x:c r="W7" s="36" t="n">
        <x:f>Выручка!W8*CHATS_PER_EMP</x:f>
        <x:v>1517.959402912369</x:v>
      </x:c>
      <x:c r="X7" s="36" t="n">
        <x:f>Выручка!X8*CHATS_PER_EMP</x:f>
        <x:v>1702.0614327667504</x:v>
      </x:c>
      <x:c r="Y7" s="36" t="n">
        <x:f>Выручка!Y8*CHATS_PER_EMP</x:f>
        <x:v>1876.958361128413</x:v>
      </x:c>
      <x:c r="Z7" s="36" t="n">
        <x:f>Выручка!Z8*CHATS_PER_EMP</x:f>
        <x:v>2043.1104430719922</x:v>
      </x:c>
      <x:c r="AA7" s="36"/>
    </x:row>
    <x:row r="8" ht="19.950000762939453" customHeight="1">
      <x:c r="B8" s="8" t="s">
        <x:v>337</x:v>
      </x:c>
      <x:c r="C8" s="38" t="n">
        <x:f t="shared" ref="C8" si="0">(C5*LLM_VAC+C6*LLM_INV+C7*LLM_CHAT)*LLM_BUF</x:f>
        <x:v>309.15075</x:v>
      </x:c>
      <x:c r="D8" s="38" t="n">
        <x:f>(D5*LLM_VAC+D6*LLM_INV+D7*LLM_CHAT)*LLM_BUF</x:f>
        <x:v>630.6675299999999</x:v>
      </x:c>
      <x:c r="E8" s="38" t="n">
        <x:f>(E5*LLM_VAC+E6*LLM_INV+E7*LLM_CHAT)*LLM_BUF</x:f>
        <x:v>968.1055736250003</x:v>
      </x:c>
      <x:c r="F8" s="38" t="n">
        <x:f>(F5*LLM_VAC+F6*LLM_INV+F7*LLM_CHAT)*LLM_BUF</x:f>
        <x:v>1325.4683830875</x:v>
      </x:c>
      <x:c r="G8" s="38" t="n">
        <x:f>(G5*LLM_VAC+G6*LLM_INV+G7*LLM_CHAT)*LLM_BUF</x:f>
        <x:v>1707.2792202984378</x:v>
      </x:c>
      <x:c r="H8" s="38" t="n">
        <x:f>(H5*LLM_VAC+H6*LLM_INV+H7*LLM_CHAT)*LLM_BUF</x:f>
        <x:v>2118.663109103625</x:v>
      </x:c>
      <x:c r="I8" s="38" t="n">
        <x:f>(I5*LLM_VAC+I6*LLM_INV+I7*LLM_CHAT)*LLM_BUF</x:f>
        <x:v>2565.4409359415695</x:v>
      </x:c>
      <x:c r="J8" s="38" t="n">
        <x:f>(J5*LLM_VAC+J6*LLM_INV+J7*LLM_CHAT)*LLM_BUF</x:f>
        <x:v>3054.237473781585</x:v>
      </x:c>
      <x:c r="K8" s="38" t="n">
        <x:f>(K5*LLM_VAC+K6*LLM_INV+K7*LLM_CHAT)*LLM_BUF</x:f>
        <x:v>3592.605427425164</x:v>
      </x:c>
      <x:c r="L8" s="38" t="n">
        <x:f>(L5*LLM_VAC+L6*LLM_INV+L7*LLM_CHAT)*LLM_BUF</x:f>
        <x:v>4189.167912486464</x:v>
      </x:c>
      <x:c r="M8" s="38" t="n">
        <x:f>(M5*LLM_VAC+M6*LLM_INV+M7*LLM_CHAT)*LLM_BUF</x:f>
        <x:v>4853.7821417595815</x:v>
      </x:c>
      <x:c r="N8" s="38" t="n">
        <x:f>(N5*LLM_VAC+N6*LLM_INV+N7*LLM_CHAT)*LLM_BUF</x:f>
        <x:v>5597.72750830366</x:v>
      </x:c>
      <x:c r="O8" s="38" t="n">
        <x:f>(O5*LLM_VAC+O6*LLM_INV+O7*LLM_CHAT)*LLM_BUF</x:f>
        <x:v>6433.921732565343</x:v>
      </x:c>
      <x:c r="P8" s="38" t="n">
        <x:f>(P5*LLM_VAC+P6*LLM_INV+P7*LLM_CHAT)*LLM_BUF</x:f>
        <x:v>7377.169290565471</x:v>
      </x:c>
      <x:c r="Q8" s="38" t="n">
        <x:f>(Q5*LLM_VAC+Q6*LLM_INV+Q7*LLM_CHAT)*LLM_BUF</x:f>
        <x:v>8444.446972359854</x:v>
      </x:c>
      <x:c r="R8" s="38" t="n">
        <x:f>(R5*LLM_VAC+R6*LLM_INV+R7*LLM_CHAT)*LLM_BUF</x:f>
        <x:v>9655.232147012912</x:v>
      </x:c>
      <x:c r="S8" s="38" t="n">
        <x:f>(S5*LLM_VAC+S6*LLM_INV+S7*LLM_CHAT)*LLM_BUF</x:f>
        <x:v>11031.880146423975</x:v>
      </x:c>
      <x:c r="T8" s="38" t="n">
        <x:f>(T5*LLM_VAC+T6*LLM_INV+T7*LLM_CHAT)*LLM_BUF</x:f>
        <x:v>12600.05814187874</x:v>
      </x:c>
      <x:c r="U8" s="38" t="n">
        <x:f>(U5*LLM_VAC+U6*LLM_INV+U7*LLM_CHAT)*LLM_BUF</x:f>
        <x:v>14389.243992977164</x:v>
      </x:c>
      <x:c r="V8" s="38" t="n">
        <x:f>(V5*LLM_VAC+V6*LLM_INV+V7*LLM_CHAT)*LLM_BUF</x:f>
        <x:v>16433.299820249522</x:v>
      </x:c>
      <x:c r="W8" s="38" t="n">
        <x:f>(W5*LLM_VAC+W6*LLM_INV+W7*LLM_CHAT)*LLM_BUF</x:f>
        <x:v>18771.13151519644</x:v>
      </x:c>
      <x:c r="X8" s="38" t="n">
        <x:f>(X5*LLM_VAC+X6*LLM_INV+X7*LLM_CHAT)*LLM_BUF</x:f>
        <x:v>21047.742739436617</x:v>
      </x:c>
      <x:c r="Y8" s="38" t="n">
        <x:f>(Y5*LLM_VAC+Y6*LLM_INV+Y7*LLM_CHAT)*LLM_BUF</x:f>
        <x:v>23210.523402464787</x:v>
      </x:c>
      <x:c r="Z8" s="38" t="n">
        <x:f>(Z5*LLM_VAC+Z6*LLM_INV+Z7*LLM_CHAT)*LLM_BUF</x:f>
        <x:v>25265.165032341552</x:v>
      </x:c>
      <x:c r="AA8" s="38" t="n">
        <x:f t="shared" ref="AA8" si="1">SUM(C8:Z8)</x:f>
        <x:v>205572.11089928495</x:v>
      </x:c>
    </x:row>
    <x:row r="9" ht="19.950000762939453" customHeight="1">
      <x:c r="B9" s="6" t="s">
        <x:v>338</x:v>
      </x:c>
      <x:c r="C9" s="36" t="n">
        <x:f>INFRA_FIX+INFRA_PER_EMP*(Выручка!C8+Выручка!C5)</x:f>
        <x:v>27550</x:v>
      </x:c>
      <x:c r="D9" s="36" t="n">
        <x:f>INFRA_FIX+INFRA_PER_EMP*(Выручка!D8+Выручка!D5)</x:f>
        <x:v>28600</x:v>
      </x:c>
      <x:c r="E9" s="36" t="n">
        <x:f>INFRA_FIX+INFRA_PER_EMP*(Выручка!E8+Выручка!E5)</x:f>
        <x:v>29729.125</x:v>
      </x:c>
      <x:c r="F9" s="36" t="n">
        <x:f>INFRA_FIX+INFRA_PER_EMP*(Выручка!F8+Выручка!F5)</x:f>
        <x:v>30953.1625</x:v>
      </x:c>
      <x:c r="G9" s="36" t="n">
        <x:f>INFRA_FIX+INFRA_PER_EMP*(Выручка!G8+Выручка!G5)</x:f>
        <x:v>32290.072187499998</x:v>
      </x:c>
      <x:c r="H9" s="36" t="n">
        <x:f>INFRA_FIX+INFRA_PER_EMP*(Выручка!H8+Выручка!H5)</x:f>
        <x:v>33760.3215625</x:v>
      </x:c>
      <x:c r="I9" s="36" t="n">
        <x:f>INFRA_FIX+INFRA_PER_EMP*(Выручка!I8+Выручка!I5)</x:f>
        <x:v>35387.27141640625</x:v>
      </x:c>
      <x:c r="J9" s="36" t="n">
        <x:f>INFRA_FIX+INFRA_PER_EMP*(Выручка!J8+Выручка!J5)</x:f>
        <x:v>37197.61866742187</x:v>
      </x:c>
      <x:c r="K9" s="36" t="n">
        <x:f>INFRA_FIX+INFRA_PER_EMP*(Выручка!K8+Выручка!K5)</x:f>
        <x:v>39221.9051791621</x:v>
      </x:c>
      <x:c r="L9" s="36" t="n">
        <x:f>INFRA_FIX+INFRA_PER_EMP*(Выручка!L8+Выручка!L5)</x:f>
        <x:v>41495.102482082024</x:v>
      </x:c>
      <x:c r="M9" s="36" t="n">
        <x:f>INFRA_FIX+INFRA_PER_EMP*(Выручка!M8+Выручка!M5)</x:f>
        <x:v>44057.28380413765</x:v>
      </x:c>
      <x:c r="N9" s="36" t="n">
        <x:f>INFRA_FIX+INFRA_PER_EMP*(Выручка!N8+Выручка!N5)</x:f>
        <x:v>46954.396527014454</x:v>
      </x:c>
      <x:c r="O9" s="36" t="n">
        <x:f>INFRA_FIX+INFRA_PER_EMP*(Выручка!O8+Выручка!O5)</x:f>
        <x:v>50239.150150709975</x:v>
      </x:c>
      <x:c r="P9" s="36" t="n">
        <x:f>INFRA_FIX+INFRA_PER_EMP*(Выручка!P8+Выручка!P5)</x:f>
        <x:v>53972.03711072765</x:v>
      </x:c>
      <x:c r="Q9" s="36" t="n">
        <x:f>INFRA_FIX+INFRA_PER_EMP*(Выручка!Q8+Выручка!Q5)</x:f>
        <x:v>58222.50639287742</x:v>
      </x:c>
      <x:c r="R9" s="36" t="n">
        <x:f>INFRA_FIX+INFRA_PER_EMP*(Выручка!R8+Выручка!R5)</x:f>
        <x:v>63070.31288157263</x:v>
      </x:c>
      <x:c r="S9" s="36" t="n">
        <x:f>INFRA_FIX+INFRA_PER_EMP*(Выручка!S8+Выручка!S5)</x:f>
        <x:v>68607.06881708393</x:v>
      </x:c>
      <x:c r="T9" s="36" t="n">
        <x:f>INFRA_FIX+INFRA_PER_EMP*(Выручка!T8+Выручка!T5)</x:f>
        <x:v>74938.02769275816</x:v>
      </x:c>
      <x:c r="U9" s="36" t="n">
        <x:f>INFRA_FIX+INFRA_PER_EMP*(Выручка!U8+Выручка!U5)</x:f>
        <x:v>82184.13547212793</x:v>
      </x:c>
      <x:c r="V9" s="36" t="n">
        <x:f>INFRA_FIX+INFRA_PER_EMP*(Выручка!V8+Выручка!V5)</x:f>
        <x:v>90484.38923713038</x:v>
      </x:c>
      <x:c r="W9" s="36" t="n">
        <x:f>INFRA_FIX+INFRA_PER_EMP*(Выручка!W8+Выручка!W5)</x:f>
        <x:v>99998.54939467402</x:v>
      </x:c>
      <x:c r="X9" s="36" t="n">
        <x:f>INFRA_FIX+INFRA_PER_EMP*(Выручка!X8+Выручка!X5)</x:f>
        <x:v>106061.84298300251</x:v>
      </x:c>
      <x:c r="Y9" s="36" t="n">
        <x:f>INFRA_FIX+INFRA_PER_EMP*(Выручка!Y8+Выручка!Y5)</x:f>
        <x:v>111308.75083385239</x:v>
      </x:c>
      <x:c r="Z9" s="36" t="n">
        <x:f>INFRA_FIX+INFRA_PER_EMP*(Выручка!Z8+Выручка!Z5)</x:f>
        <x:v>116293.31329215977</x:v>
      </x:c>
      <x:c r="AA9" s="38" t="n">
        <x:f>SUM(C9:Z9)</x:f>
        <x:v>1402576.3435849012</x:v>
      </x:c>
    </x:row>
    <x:row r="10" ht="19.950000762939453" customHeight="1">
      <x:c r="B10" s="8" t="s">
        <x:v>339</x:v>
      </x:c>
      <x:c r="C10" s="38" t="n">
        <x:f>Выручка!C5*COST_TRIAL_MKT+DIRECT_NEW*CAC_DIRECT</x:f>
        <x:v>110000</x:v>
      </x:c>
      <x:c r="D10" s="38" t="n">
        <x:f>Выручка!D5*COST_TRIAL_MKT+DIRECT_NEW*CAC_DIRECT</x:f>
        <x:v>119000</x:v>
      </x:c>
      <x:c r="E10" s="38" t="n">
        <x:f>Выручка!E5*COST_TRIAL_MKT+DIRECT_NEW*CAC_DIRECT</x:f>
        <x:v>129350</x:v>
      </x:c>
      <x:c r="F10" s="38" t="n">
        <x:f>Выручка!F5*COST_TRIAL_MKT+DIRECT_NEW*CAC_DIRECT</x:f>
        <x:v>141252.5</x:v>
      </x:c>
      <x:c r="G10" s="38" t="n">
        <x:f>Выручка!G5*COST_TRIAL_MKT+DIRECT_NEW*CAC_DIRECT</x:f>
        <x:v>154940.37499999994</x:v>
      </x:c>
      <x:c r="H10" s="38" t="n">
        <x:f>Выручка!H5*COST_TRIAL_MKT+DIRECT_NEW*CAC_DIRECT</x:f>
        <x:v>170681.43124999997</x:v>
      </x:c>
      <x:c r="I10" s="38" t="n">
        <x:f>Выручка!I5*COST_TRIAL_MKT+DIRECT_NEW*CAC_DIRECT</x:f>
        <x:v>188783.64593749997</x:v>
      </x:c>
      <x:c r="J10" s="38" t="n">
        <x:f>Выручка!J5*COST_TRIAL_MKT+DIRECT_NEW*CAC_DIRECT</x:f>
        <x:v>209601.1928281249</x:v>
      </x:c>
      <x:c r="K10" s="38" t="n">
        <x:f>Выручка!K5*COST_TRIAL_MKT+DIRECT_NEW*CAC_DIRECT</x:f>
        <x:v>233541.37175234366</x:v>
      </x:c>
      <x:c r="L10" s="38" t="n">
        <x:f>Выручка!L5*COST_TRIAL_MKT+DIRECT_NEW*CAC_DIRECT</x:f>
        <x:v>261072.57751519518</x:v>
      </x:c>
      <x:c r="M10" s="38" t="n">
        <x:f>Выручка!M5*COST_TRIAL_MKT+DIRECT_NEW*CAC_DIRECT</x:f>
        <x:v>292733.46414247435</x:v>
      </x:c>
      <x:c r="N10" s="38" t="n">
        <x:f>Выручка!N5*COST_TRIAL_MKT+DIRECT_NEW*CAC_DIRECT</x:f>
        <x:v>329143.4837638456</x:v>
      </x:c>
      <x:c r="O10" s="38" t="n">
        <x:f>Выручка!O5*COST_TRIAL_MKT+DIRECT_NEW*CAC_DIRECT</x:f>
        <x:v>371015.0063284224</x:v>
      </x:c>
      <x:c r="P10" s="38" t="n">
        <x:f>Выручка!P5*COST_TRIAL_MKT+DIRECT_NEW*CAC_DIRECT</x:f>
        <x:v>419167.2572776857</x:v>
      </x:c>
      <x:c r="Q10" s="38" t="n">
        <x:f>Выручка!Q5*COST_TRIAL_MKT+DIRECT_NEW*CAC_DIRECT</x:f>
        <x:v>474542.34586933855</x:v>
      </x:c>
      <x:c r="R10" s="38" t="n">
        <x:f>Выручка!R5*COST_TRIAL_MKT+DIRECT_NEW*CAC_DIRECT</x:f>
        <x:v>538223.6977497393</x:v>
      </x:c>
      <x:c r="S10" s="38" t="n">
        <x:f>Выручка!S5*COST_TRIAL_MKT+DIRECT_NEW*CAC_DIRECT</x:f>
        <x:v>611457.2524122001</x:v>
      </x:c>
      <x:c r="T10" s="38" t="n">
        <x:f>Выручка!T5*COST_TRIAL_MKT+DIRECT_NEW*CAC_DIRECT</x:f>
        <x:v>695675.8402740301</x:v>
      </x:c>
      <x:c r="U10" s="38" t="n">
        <x:f>Выручка!U5*COST_TRIAL_MKT+DIRECT_NEW*CAC_DIRECT</x:f>
        <x:v>792527.2163151345</x:v>
      </x:c>
      <x:c r="V10" s="38" t="n">
        <x:f>Выручка!V5*COST_TRIAL_MKT+DIRECT_NEW*CAC_DIRECT</x:f>
        <x:v>903906.2987624046</x:v>
      </x:c>
      <x:c r="W10" s="38" t="n">
        <x:f>Выручка!W5*COST_TRIAL_MKT+DIRECT_NEW*CAC_DIRECT</x:f>
        <x:v>1031992.2435767653</x:v>
      </x:c>
      <x:c r="X10" s="38" t="n">
        <x:f>Выручка!X5*COST_TRIAL_MKT+DIRECT_NEW*CAC_DIRECT</x:f>
        <x:v>1050000</x:v>
      </x:c>
      <x:c r="Y10" s="38" t="n">
        <x:f>Выручка!Y5*COST_TRIAL_MKT+DIRECT_NEW*CAC_DIRECT</x:f>
        <x:v>1050000</x:v>
      </x:c>
      <x:c r="Z10" s="38" t="n">
        <x:f>Выручка!Z5*COST_TRIAL_MKT+DIRECT_NEW*CAC_DIRECT</x:f>
        <x:v>1050000</x:v>
      </x:c>
      <x:c r="AA10" s="38" t="n">
        <x:f>SUM(C10:Z10)</x:f>
        <x:v>11328607.200755205</x:v>
      </x:c>
    </x:row>
    <x:row r="11" ht="19.950000762939453" customHeight="1">
      <x:c r="B11" s="6" t="s">
        <x:v>340</x:v>
      </x:c>
      <x:c r="C11" s="36" t="n">
        <x:f>ACQ*Выручка!C18</x:f>
        <x:v>2128.285495</x:v>
      </x:c>
      <x:c r="D11" s="36" t="n">
        <x:f>ACQ*Выручка!D18</x:f>
        <x:v>4341.7024098</x:v>
      </x:c>
      <x:c r="E11" s="36" t="n">
        <x:f>ACQ*Выручка!E18</x:f>
        <x:v>6664.726027592502</x:v>
      </x:c>
      <x:c r="F11" s="36" t="n">
        <x:f>ACQ*Выручка!F18</x:f>
        <x:v>9124.917645537751</x:v>
      </x:c>
      <x:c r="G11" s="36" t="n">
        <x:f>ACQ*Выручка!G18</x:f>
        <x:v>11753.41674078447</x:v>
      </x:c>
      <x:c r="H11" s="36" t="n">
        <x:f>ACQ*Выручка!H18</x:f>
        <x:v>14585.505498197392</x:v>
      </x:c>
      <x:c r="I11" s="36" t="n">
        <x:f>ACQ*Выручка!I18</x:f>
        <x:v>17661.25662720749</x:v>
      </x:c>
      <x:c r="J11" s="36" t="n">
        <x:f>ACQ*Выручка!J18</x:f>
        <x:v>21026.277030655077</x:v>
      </x:c>
      <x:c r="K11" s="36" t="n">
        <x:f>ACQ*Выручка!K18</x:f>
        <x:v>24732.56176945148</x:v>
      </x:c>
      <x:c r="L11" s="36" t="n">
        <x:f>ACQ*Выручка!L18</x:f>
        <x:v>28839.474930157437</x:v>
      </x:c>
      <x:c r="M11" s="36" t="n">
        <x:f>ACQ*Выручка!M18</x:f>
        <x:v>33414.87649050488</x:v>
      </x:c>
      <x:c r="N11" s="36" t="n">
        <x:f>ACQ*Выручка!N18</x:f>
        <x:v>38536.41713916325</x:v>
      </x:c>
      <x:c r="O11" s="36" t="n">
        <x:f>ACQ*Выручка!O18</x:f>
        <x:v>44293.026296666234</x:v>
      </x:c>
      <x:c r="P11" s="36" t="n">
        <x:f>ACQ*Выручка!P18</x:f>
        <x:v>50786.62236876324</x:v>
      </x:c>
      <x:c r="Q11" s="36" t="n">
        <x:f>ACQ*Выручка!Q18</x:f>
        <x:v>58134.07861559494</x:v>
      </x:c>
      <x:c r="R11" s="36" t="n">
        <x:f>ACQ*Выручка!R18</x:f>
        <x:v>66469.48302517555</x:v>
      </x:c>
      <x:c r="S11" s="36" t="n">
        <x:f>ACQ*Выручка!S18</x:f>
        <x:v>75946.73633563115</x:v>
      </x:c>
      <x:c r="T11" s="36" t="n">
        <x:f>ACQ*Выручка!T18</x:f>
        <x:v>86742.53897012114</x:v>
      </x:c>
      <x:c r="U11" s="36" t="n">
        <x:f>ACQ*Выручка!U18</x:f>
        <x:v>99059.82526087735</x:v>
      </x:c>
      <x:c r="V11" s="36" t="n">
        <x:f>ACQ*Выручка!V18</x:f>
        <x:v>113131.71209328512</x:v>
      </x:c>
      <x:c r="W11" s="36" t="n">
        <x:f>ACQ*Выручка!W18</x:f>
        <x:v>129226.03916869023</x:v>
      </x:c>
      <x:c r="X11" s="36" t="n">
        <x:f>ACQ*Выручка!X18</x:f>
        <x:v>144898.90635825568</x:v>
      </x:c>
      <x:c r="Y11" s="36" t="n">
        <x:f>ACQ*Выручка!Y18</x:f>
        <x:v>159788.1301883429</x:v>
      </x:c>
      <x:c r="Z11" s="36" t="n">
        <x:f>ACQ*Выручка!Z18</x:f>
        <x:v>173932.89282692582</x:v>
      </x:c>
      <x:c r="AA11" s="38" t="n">
        <x:f>SUM(C11:Z11)</x:f>
        <x:v>1415219.4093123812</x:v>
      </x:c>
    </x:row>
    <x:row r="12" ht="19.950000762939453" customHeight="1">
      <x:c r="B12" s="8" t="s">
        <x:v>341</x:v>
      </x:c>
      <x:c r="C12" s="38" t="n">
        <x:f t="shared" ref="C12" si="2">IF(C$4&lt;=6,PAYROLL_EARLY,PAYROLL_LATE)</x:f>
        <x:v>600000</x:v>
      </x:c>
      <x:c r="D12" s="38" t="n">
        <x:f>IF(D$4&lt;=6,PAYROLL_EARLY,PAYROLL_LATE)</x:f>
        <x:v>600000</x:v>
      </x:c>
      <x:c r="E12" s="38" t="n">
        <x:f>IF(E$4&lt;=6,PAYROLL_EARLY,PAYROLL_LATE)</x:f>
        <x:v>600000</x:v>
      </x:c>
      <x:c r="F12" s="38" t="n">
        <x:f>IF(F$4&lt;=6,PAYROLL_EARLY,PAYROLL_LATE)</x:f>
        <x:v>600000</x:v>
      </x:c>
      <x:c r="G12" s="38" t="n">
        <x:f>IF(G$4&lt;=6,PAYROLL_EARLY,PAYROLL_LATE)</x:f>
        <x:v>600000</x:v>
      </x:c>
      <x:c r="H12" s="38" t="n">
        <x:f>IF(H$4&lt;=6,PAYROLL_EARLY,PAYROLL_LATE)</x:f>
        <x:v>600000</x:v>
      </x:c>
      <x:c r="I12" s="38" t="n">
        <x:f>IF(I$4&lt;=6,PAYROLL_EARLY,PAYROLL_LATE)</x:f>
        <x:v>1150000</x:v>
      </x:c>
      <x:c r="J12" s="38" t="n">
        <x:f>IF(J$4&lt;=6,PAYROLL_EARLY,PAYROLL_LATE)</x:f>
        <x:v>1150000</x:v>
      </x:c>
      <x:c r="K12" s="38" t="n">
        <x:f>IF(K$4&lt;=6,PAYROLL_EARLY,PAYROLL_LATE)</x:f>
        <x:v>1150000</x:v>
      </x:c>
      <x:c r="L12" s="38" t="n">
        <x:f>IF(L$4&lt;=6,PAYROLL_EARLY,PAYROLL_LATE)</x:f>
        <x:v>1150000</x:v>
      </x:c>
      <x:c r="M12" s="38" t="n">
        <x:f>IF(M$4&lt;=6,PAYROLL_EARLY,PAYROLL_LATE)</x:f>
        <x:v>1150000</x:v>
      </x:c>
      <x:c r="N12" s="38" t="n">
        <x:f>IF(N$4&lt;=6,PAYROLL_EARLY,PAYROLL_LATE)</x:f>
        <x:v>1150000</x:v>
      </x:c>
      <x:c r="O12" s="38" t="n">
        <x:f>IF(O$4&lt;=6,PAYROLL_EARLY,PAYROLL_LATE)</x:f>
        <x:v>1150000</x:v>
      </x:c>
      <x:c r="P12" s="38" t="n">
        <x:f>IF(P$4&lt;=6,PAYROLL_EARLY,PAYROLL_LATE)</x:f>
        <x:v>1150000</x:v>
      </x:c>
      <x:c r="Q12" s="38" t="n">
        <x:f>IF(Q$4&lt;=6,PAYROLL_EARLY,PAYROLL_LATE)</x:f>
        <x:v>1150000</x:v>
      </x:c>
      <x:c r="R12" s="38" t="n">
        <x:f>IF(R$4&lt;=6,PAYROLL_EARLY,PAYROLL_LATE)</x:f>
        <x:v>1150000</x:v>
      </x:c>
      <x:c r="S12" s="38" t="n">
        <x:f>IF(S$4&lt;=6,PAYROLL_EARLY,PAYROLL_LATE)</x:f>
        <x:v>1150000</x:v>
      </x:c>
      <x:c r="T12" s="38" t="n">
        <x:f>IF(T$4&lt;=6,PAYROLL_EARLY,PAYROLL_LATE)</x:f>
        <x:v>1150000</x:v>
      </x:c>
      <x:c r="U12" s="38" t="n">
        <x:f>IF(U$4&lt;=6,PAYROLL_EARLY,PAYROLL_LATE)</x:f>
        <x:v>1150000</x:v>
      </x:c>
      <x:c r="V12" s="38" t="n">
        <x:f>IF(V$4&lt;=6,PAYROLL_EARLY,PAYROLL_LATE)</x:f>
        <x:v>1150000</x:v>
      </x:c>
      <x:c r="W12" s="38" t="n">
        <x:f>IF(W$4&lt;=6,PAYROLL_EARLY,PAYROLL_LATE)</x:f>
        <x:v>1150000</x:v>
      </x:c>
      <x:c r="X12" s="38" t="n">
        <x:f>IF(X$4&lt;=6,PAYROLL_EARLY,PAYROLL_LATE)</x:f>
        <x:v>1150000</x:v>
      </x:c>
      <x:c r="Y12" s="38" t="n">
        <x:f>IF(Y$4&lt;=6,PAYROLL_EARLY,PAYROLL_LATE)</x:f>
        <x:v>1150000</x:v>
      </x:c>
      <x:c r="Z12" s="38" t="n">
        <x:f>IF(Z$4&lt;=6,PAYROLL_EARLY,PAYROLL_LATE)</x:f>
        <x:v>1150000</x:v>
      </x:c>
      <x:c r="AA12" s="38" t="n">
        <x:f>SUM(C12:Z12)</x:f>
        <x:v>24300000</x:v>
      </x:c>
    </x:row>
    <x:row r="13" ht="19.950000762939453" customHeight="1">
      <x:c r="B13" s="6" t="s">
        <x:v>342</x:v>
      </x:c>
      <x:c r="C13" s="36" t="n">
        <x:f t="shared" ref="C13" si="3">OPEX_OTHER</x:f>
        <x:v>40000</x:v>
      </x:c>
      <x:c r="D13" s="36" t="n">
        <x:f>OPEX_OTHER</x:f>
        <x:v>40000</x:v>
      </x:c>
      <x:c r="E13" s="36" t="n">
        <x:f>OPEX_OTHER</x:f>
        <x:v>40000</x:v>
      </x:c>
      <x:c r="F13" s="36" t="n">
        <x:f>OPEX_OTHER</x:f>
        <x:v>40000</x:v>
      </x:c>
      <x:c r="G13" s="36" t="n">
        <x:f>OPEX_OTHER</x:f>
        <x:v>40000</x:v>
      </x:c>
      <x:c r="H13" s="36" t="n">
        <x:f>OPEX_OTHER</x:f>
        <x:v>40000</x:v>
      </x:c>
      <x:c r="I13" s="36" t="n">
        <x:f>OPEX_OTHER</x:f>
        <x:v>40000</x:v>
      </x:c>
      <x:c r="J13" s="36" t="n">
        <x:f>OPEX_OTHER</x:f>
        <x:v>40000</x:v>
      </x:c>
      <x:c r="K13" s="36" t="n">
        <x:f>OPEX_OTHER</x:f>
        <x:v>40000</x:v>
      </x:c>
      <x:c r="L13" s="36" t="n">
        <x:f>OPEX_OTHER</x:f>
        <x:v>40000</x:v>
      </x:c>
      <x:c r="M13" s="36" t="n">
        <x:f>OPEX_OTHER</x:f>
        <x:v>40000</x:v>
      </x:c>
      <x:c r="N13" s="36" t="n">
        <x:f>OPEX_OTHER</x:f>
        <x:v>40000</x:v>
      </x:c>
      <x:c r="O13" s="36" t="n">
        <x:f>OPEX_OTHER</x:f>
        <x:v>40000</x:v>
      </x:c>
      <x:c r="P13" s="36" t="n">
        <x:f>OPEX_OTHER</x:f>
        <x:v>40000</x:v>
      </x:c>
      <x:c r="Q13" s="36" t="n">
        <x:f>OPEX_OTHER</x:f>
        <x:v>40000</x:v>
      </x:c>
      <x:c r="R13" s="36" t="n">
        <x:f>OPEX_OTHER</x:f>
        <x:v>40000</x:v>
      </x:c>
      <x:c r="S13" s="36" t="n">
        <x:f>OPEX_OTHER</x:f>
        <x:v>40000</x:v>
      </x:c>
      <x:c r="T13" s="36" t="n">
        <x:f>OPEX_OTHER</x:f>
        <x:v>40000</x:v>
      </x:c>
      <x:c r="U13" s="36" t="n">
        <x:f>OPEX_OTHER</x:f>
        <x:v>40000</x:v>
      </x:c>
      <x:c r="V13" s="36" t="n">
        <x:f>OPEX_OTHER</x:f>
        <x:v>40000</x:v>
      </x:c>
      <x:c r="W13" s="36" t="n">
        <x:f>OPEX_OTHER</x:f>
        <x:v>40000</x:v>
      </x:c>
      <x:c r="X13" s="36" t="n">
        <x:f>OPEX_OTHER</x:f>
        <x:v>40000</x:v>
      </x:c>
      <x:c r="Y13" s="36" t="n">
        <x:f>OPEX_OTHER</x:f>
        <x:v>40000</x:v>
      </x:c>
      <x:c r="Z13" s="36" t="n">
        <x:f>OPEX_OTHER</x:f>
        <x:v>40000</x:v>
      </x:c>
      <x:c r="AA13" s="38" t="n">
        <x:f>SUM(C13:Z13)</x:f>
        <x:v>960000</x:v>
      </x:c>
    </x:row>
    <x:row r="14" ht="19.950000762939453" customHeight="1">
      <x:c r="B14" s="47" t="s">
        <x:v>343</x:v>
      </x:c>
      <x:c r="C14" s="48" t="n">
        <x:f t="shared" ref="C14" si="4">SUM(C8:C13)</x:f>
        <x:v>779987.436245</x:v>
      </x:c>
      <x:c r="D14" s="48" t="n">
        <x:f>SUM(D8:D13)</x:f>
        <x:v>792572.3699398</x:v>
      </x:c>
      <x:c r="E14" s="48" t="n">
        <x:f>SUM(E8:E13)</x:f>
        <x:v>806711.9566012175</x:v>
      </x:c>
      <x:c r="F14" s="48" t="n">
        <x:f>SUM(F8:F13)</x:f>
        <x:v>822656.0485286253</x:v>
      </x:c>
      <x:c r="G14" s="48" t="n">
        <x:f>SUM(G8:G13)</x:f>
        <x:v>840691.1431485829</x:v>
      </x:c>
      <x:c r="H14" s="48" t="n">
        <x:f>SUM(H8:H13)</x:f>
        <x:v>861145.921419801</x:v>
      </x:c>
      <x:c r="I14" s="48" t="n">
        <x:f>SUM(I8:I13)</x:f>
        <x:v>1434397.6149170552</x:v>
      </x:c>
      <x:c r="J14" s="48" t="n">
        <x:f>SUM(J8:J13)</x:f>
        <x:v>1460879.3259999836</x:v>
      </x:c>
      <x:c r="K14" s="48" t="n">
        <x:f>SUM(K8:K13)</x:f>
        <x:v>1491088.4441283825</x:v>
      </x:c>
      <x:c r="L14" s="48" t="n">
        <x:f>SUM(L8:L13)</x:f>
        <x:v>1525596.322839921</x:v>
      </x:c>
      <x:c r="M14" s="48" t="n">
        <x:f>SUM(M8:M13)</x:f>
        <x:v>1565059.4065788765</x:v>
      </x:c>
      <x:c r="N14" s="48" t="n">
        <x:f>SUM(N8:N13)</x:f>
        <x:v>1610232.0249383268</x:v>
      </x:c>
      <x:c r="O14" s="48" t="n">
        <x:f>SUM(O8:O13)</x:f>
        <x:v>1661981.104508364</x:v>
      </x:c>
      <x:c r="P14" s="48" t="n">
        <x:f>SUM(P8:P13)</x:f>
        <x:v>1721303.086047742</x:v>
      </x:c>
      <x:c r="Q14" s="48" t="n">
        <x:f>SUM(Q8:Q13)</x:f>
        <x:v>1789343.3778501707</x:v>
      </x:c>
      <x:c r="R14" s="48" t="n">
        <x:f>SUM(R8:R13)</x:f>
        <x:v>1867418.7258035005</x:v>
      </x:c>
      <x:c r="S14" s="48" t="n">
        <x:f>SUM(S8:S13)</x:f>
        <x:v>1957042.937711339</x:v>
      </x:c>
      <x:c r="T14" s="48" t="n">
        <x:f>SUM(T8:T13)</x:f>
        <x:v>2059956.4650787883</x:v>
      </x:c>
      <x:c r="U14" s="48" t="n">
        <x:f>SUM(U8:U13)</x:f>
        <x:v>2178160.421041117</x:v>
      </x:c>
      <x:c r="V14" s="48" t="n">
        <x:f>SUM(V8:V13)</x:f>
        <x:v>2313955.6999130696</x:v>
      </x:c>
      <x:c r="W14" s="48" t="n">
        <x:f>SUM(W8:W13)</x:f>
        <x:v>2469987.963655326</x:v>
      </x:c>
      <x:c r="X14" s="48" t="n">
        <x:f>SUM(X8:X13)</x:f>
        <x:v>2512008.492080695</x:v>
      </x:c>
      <x:c r="Y14" s="48" t="n">
        <x:f>SUM(Y8:Y13)</x:f>
        <x:v>2534307.40442466</x:v>
      </x:c>
      <x:c r="Z14" s="48" t="n">
        <x:f>SUM(Z8:Z13)</x:f>
        <x:v>2555491.371151427</x:v>
      </x:c>
      <x:c r="AA14" s="38" t="n">
        <x:f>SUM(C14:Z14)</x:f>
        <x:v>39611975.06455177</x:v>
      </x:c>
    </x:row>
    <x:row r="15" ht="19.950000762939453" customHeight="1">
      <x:c r="B15" s="47" t="s">
        <x:v>330</x:v>
      </x:c>
      <x:c r="C15" s="48" t="n">
        <x:f>Выручка!C18-C14</x:f>
        <x:v>-703977.239995</x:v>
      </x:c>
      <x:c r="D15" s="48" t="n">
        <x:f>Выручка!D18-D14</x:f>
        <x:v>-637511.5695898</x:v>
      </x:c>
      <x:c r="E15" s="48" t="n">
        <x:f>Выручка!E18-E14</x:f>
        <x:v>-568686.0270443425</x:v>
      </x:c>
      <x:c r="F15" s="48" t="n">
        <x:f>Выручка!F18-F14</x:f>
        <x:v>-496766.13261656277</x:v>
      </x:c>
      <x:c r="G15" s="48" t="n">
        <x:f>Выручка!G18-G14</x:f>
        <x:v>-420926.2595491375</x:v>
      </x:c>
      <x:c r="H15" s="48" t="n">
        <x:f>Выручка!H18-H14</x:f>
        <x:v>-340235.0107698941</x:v>
      </x:c>
      <x:c r="I15" s="48" t="n">
        <x:f>Выручка!I18-I14</x:f>
        <x:v>-803638.4496596449</x:v>
      </x:c>
      <x:c r="J15" s="48" t="n">
        <x:f>Выручка!J18-J14</x:f>
        <x:v>-709940.8606194451</x:v>
      </x:c>
      <x:c r="K15" s="48" t="n">
        <x:f>Выручка!K18-K14</x:f>
        <x:v>-607782.6666479725</x:v>
      </x:c>
      <x:c r="L15" s="48" t="n">
        <x:f>Выручка!L18-L14</x:f>
        <x:v>-495615.0753342983</x:v>
      </x:c>
      <x:c r="M15" s="48" t="n">
        <x:f>Выручка!M18-M14</x:f>
        <x:v>-371670.9604894165</x:v>
      </x:c>
      <x:c r="N15" s="48" t="n">
        <x:f>Выручка!N18-N14</x:f>
        <x:v>-233931.41282535368</x:v>
      </x:c>
      <x:c r="O15" s="48" t="n">
        <x:f>Выручка!O18-O14</x:f>
        <x:v>-80087.30819885572</x:v>
      </x:c>
      <x:c r="P15" s="48" t="n">
        <x:f>Выручка!P18-P14</x:f>
        <x:v>92504.855693802</x:v>
      </x:c>
      <x:c r="Q15" s="48" t="n">
        <x:f>Выручка!Q18-Q14</x:f>
        <x:v>286873.7155639343</x:v>
      </x:c>
      <x:c r="R15" s="48" t="n">
        <x:f>Выручка!R18-R14</x:f>
        <x:v>506491.38223848306</x:v>
      </x:c>
      <x:c r="S15" s="48" t="n">
        <x:f>Выручка!S18-S14</x:f>
        <x:v>755340.5028469167</x:v>
      </x:c>
      <x:c r="T15" s="48" t="n">
        <x:f>Выручка!T18-T14</x:f>
        <x:v>1037991.3552826806</x:v>
      </x:c>
      <x:c r="U15" s="48" t="n">
        <x:f>Выручка!U18-U14</x:f>
        <x:v>1359690.481133074</x:v>
      </x:c>
      <x:c r="V15" s="48" t="n">
        <x:f>Выручка!V18-V14</x:f>
        <x:v>1726462.5891328277</x:v>
      </x:c>
      <x:c r="W15" s="48" t="n">
        <x:f>Выручка!W18-W14</x:f>
        <x:v>2145227.7209407534</x:v>
      </x:c>
      <x:c r="X15" s="48" t="n">
        <x:f>Выручка!X18-X14</x:f>
        <x:v>2662952.44928558</x:v>
      </x:c>
      <x:c r="Y15" s="48" t="n">
        <x:f>Выручка!Y18-Y14</x:f>
        <x:v>3172411.5308733014</x:v>
      </x:c>
      <x:c r="Z15" s="48" t="n">
        <x:f>Выручка!Z18-Z14</x:f>
        <x:v>3656397.658381638</x:v>
      </x:c>
      <x:c r="AA15" s="38" t="n">
        <x:f>SUM(C15:Z15)</x:f>
        <x:v>10931575.26803327</x:v>
      </x:c>
    </x:row>
    <x:row r="16" ht="19.950000762939453" customHeight="1">
      <x:c r="B16" s="8" t="s">
        <x:v>344</x:v>
      </x:c>
      <x:c r="C16" s="51" t="n">
        <x:f>C15</x:f>
        <x:v>-703977.239995</x:v>
      </x:c>
      <x:c r="D16" s="51" t="n">
        <x:f t="shared" ref="D16" si="5">C16+D15</x:f>
        <x:v>-1341488.8095848</x:v>
      </x:c>
      <x:c r="E16" s="51" t="n">
        <x:f>D16+E15</x:f>
        <x:v>-1910174.8366291425</x:v>
      </x:c>
      <x:c r="F16" s="51" t="n">
        <x:f>E16+F15</x:f>
        <x:v>-2406940.9692457053</x:v>
      </x:c>
      <x:c r="G16" s="51" t="n">
        <x:f>F16+G15</x:f>
        <x:v>-2827867.228794843</x:v>
      </x:c>
      <x:c r="H16" s="51" t="n">
        <x:f>G16+H15</x:f>
        <x:v>-3168102.2395647373</x:v>
      </x:c>
      <x:c r="I16" s="51" t="n">
        <x:f>H16+I15</x:f>
        <x:v>-3971740.689224382</x:v>
      </x:c>
      <x:c r="J16" s="51" t="n">
        <x:f>I16+J15</x:f>
        <x:v>-4681681.549843827</x:v>
      </x:c>
      <x:c r="K16" s="51" t="n">
        <x:f>J16+K15</x:f>
        <x:v>-5289464.2164918</x:v>
      </x:c>
      <x:c r="L16" s="51" t="n">
        <x:f>K16+L15</x:f>
        <x:v>-5785079.291826098</x:v>
      </x:c>
      <x:c r="M16" s="51" t="n">
        <x:f>L16+M15</x:f>
        <x:v>-6156750.252315515</x:v>
      </x:c>
      <x:c r="N16" s="51" t="n">
        <x:f>M16+N15</x:f>
        <x:v>-6390681.665140868</x:v>
      </x:c>
      <x:c r="O16" s="51" t="n">
        <x:f>N16+O15</x:f>
        <x:v>-6470768.973339723</x:v>
      </x:c>
      <x:c r="P16" s="51" t="n">
        <x:f>O16+P15</x:f>
        <x:v>-6378264.117645921</x:v>
      </x:c>
      <x:c r="Q16" s="51" t="n">
        <x:f>P16+Q15</x:f>
        <x:v>-6091390.402081987</x:v>
      </x:c>
      <x:c r="R16" s="51" t="n">
        <x:f>Q16+R15</x:f>
        <x:v>-5584899.019843504</x:v>
      </x:c>
      <x:c r="S16" s="51" t="n">
        <x:f>R16+S15</x:f>
        <x:v>-4829558.516996587</x:v>
      </x:c>
      <x:c r="T16" s="51" t="n">
        <x:f>S16+T15</x:f>
        <x:v>-3791567.161713906</x:v>
      </x:c>
      <x:c r="U16" s="51" t="n">
        <x:f>T16+U15</x:f>
        <x:v>-2431876.680580832</x:v>
      </x:c>
      <x:c r="V16" s="51" t="n">
        <x:f>U16+V15</x:f>
        <x:v>-705414.0914480044</x:v>
      </x:c>
      <x:c r="W16" s="51" t="n">
        <x:f>V16+W15</x:f>
        <x:v>1439813.629492749</x:v>
      </x:c>
      <x:c r="X16" s="51" t="n">
        <x:f>W16+X15</x:f>
        <x:v>4102766.078778329</x:v>
      </x:c>
      <x:c r="Y16" s="51" t="n">
        <x:f>X16+Y15</x:f>
        <x:v>7275177.609651631</x:v>
      </x:c>
      <x:c r="Z16" s="51" t="n">
        <x:f>Y16+Z15</x:f>
        <x:v>10931575.26803327</x:v>
      </x:c>
      <x:c r="AA16" s="51" t="n">
        <x:f>Z16</x:f>
        <x:v>10931575.26803327</x:v>
      </x:c>
    </x:row>
    <x:row r="18">
      <x:c r="B18" s="69" t="s">
        <x:v>345</x:v>
      </x:c>
      <x:c r="C18" s="62"/>
      <x:c r="D18" s="62"/>
      <x:c r="E18" s="62"/>
      <x:c r="F18" s="62"/>
      <x:c r="G18" s="62"/>
      <x:c r="H18" s="62"/>
      <x:c r="I18" s="62"/>
      <x:c r="J18" s="62"/>
      <x:c r="K18" s="62"/>
      <x:c r="L18" s="62"/>
    </x:row>
  </x:sheetData>
  <x:mergeCells>
    <x:mergeCell ref="B2:L2"/>
    <x:mergeCell ref="B18:L1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40" customWidth="1"/>
    <x:col min="3" max="3" width="15" customWidth="1"/>
    <x:col min="4" max="4" width="48" customWidth="1"/>
  </x:cols>
  <x:sheetData>
    <x:row r="1" ht="15" customHeight="1"/>
    <x:row r="2" ht="31.950000762939453" customHeight="1">
      <x:c r="B2" s="63" t="s">
        <x:v>346</x:v>
      </x:c>
      <x:c r="C2" s="62"/>
      <x:c r="D2" s="62"/>
    </x:row>
    <x:row r="3" ht="7.949999809265137" customHeight="1"/>
    <x:row r="4" ht="28.049999237060547" customHeight="1">
      <x:c r="B4" s="12" t="s">
        <x:v>142</x:v>
      </x:c>
      <x:c r="C4" s="12" t="s">
        <x:v>19</x:v>
      </x:c>
      <x:c r="D4" s="12" t="s">
        <x:v>295</x:v>
      </x:c>
    </x:row>
    <x:row r="5" ht="37.95000076293945" customHeight="1">
      <x:c r="B5" s="6" t="s">
        <x:v>347</x:v>
      </x:c>
      <x:c r="C5" s="24" t="n">
        <x:f>CASUAL_SH*CASUAL_ACT*(VAC_PER_EMP*VAC_AVG+INV_PER_EMP_CAS*INV_PRICE)+SUB_START_SH*SUB_START+SUB_BIZ_SH*SUB_BIZ</x:f>
        <x:v>6052.498</x:v>
      </x:c>
      <x:c r="D5" s="15" t="s">
        <x:v>348</x:v>
      </x:c>
    </x:row>
    <x:row r="6" ht="22.049999237060547" customHeight="1">
      <x:c r="B6" s="8" t="s">
        <x:v>349</x:v>
      </x:c>
      <x:c r="C6" s="40" t="n">
        <x:f>CASUAL_SH*CASUAL_ACT*VAC_PER_EMP+SUB_START_SH*VAC_PER_EMP_SUB+SUB_BIZ_SH*VAC_PER_EMP_BIZ</x:f>
        <x:v>1.423</x:v>
      </x:c>
      <x:c r="D6" s="18" t="s">
        <x:v>350</x:v>
      </x:c>
    </x:row>
    <x:row r="7" ht="22.049999237060547" customHeight="1">
      <x:c r="B7" s="6" t="s">
        <x:v>351</x:v>
      </x:c>
      <x:c r="C7" s="39" t="n">
        <x:f>CASUAL_SH*CASUAL_ACT*INV_PER_EMP_CAS+SUB_START_SH*INV_PER_EMP_SUB+SUB_BIZ_SH*INV_PER_EMP_BIZ</x:f>
        <x:v>53.824</x:v>
      </x:c>
      <x:c r="D7" s="15" t="s">
        <x:v>350</x:v>
      </x:c>
    </x:row>
    <x:row r="8" ht="22.049999237060547" customHeight="1">
      <x:c r="B8" s="8" t="s">
        <x:v>352</x:v>
      </x:c>
      <x:c r="C8" s="31" t="n">
        <x:f>(C6*LLM_VAC+C7*LLM_INV+CHATS_PER_EMP*LLM_CHAT)*LLM_BUF</x:f>
        <x:v>24.732059999999997</x:v>
      </x:c>
      <x:c r="D8" s="18" t="s">
        <x:v>353</x:v>
      </x:c>
    </x:row>
    <x:row r="9" ht="37.95000076293945" customHeight="1">
      <x:c r="B9" s="6" t="s">
        <x:v>354</x:v>
      </x:c>
      <x:c r="C9" s="32" t="n">
        <x:f>INFRA_PER_EMP+C8+ACQ*C5</x:f>
        <x:v>254.202004</x:v>
      </x:c>
      <x:c r="D9" s="15" t="s">
        <x:v>355</x:v>
      </x:c>
    </x:row>
    <x:row r="10" ht="37.95000076293945" customHeight="1">
      <x:c r="B10" s="8" t="s">
        <x:v>356</x:v>
      </x:c>
      <x:c r="C10" s="35" t="n">
        <x:f>C5-C9</x:f>
        <x:v>5798.295996</x:v>
      </x:c>
      <x:c r="D10" s="18" t="s">
        <x:v>357</x:v>
      </x:c>
    </x:row>
    <x:row r="11" ht="22.049999237060547" customHeight="1">
      <x:c r="B11" s="6" t="s">
        <x:v>358</x:v>
      </x:c>
      <x:c r="C11" s="26" t="n">
        <x:f>IF(C5=0,0,C10/C5)</x:f>
        <x:v>0.9580004811236617</x:v>
      </x:c>
      <x:c r="D11" s="15" t="s">
        <x:v>359</x:v>
      </x:c>
    </x:row>
    <x:row r="12" ht="22.049999237060547" customHeight="1">
      <x:c r="B12" s="8" t="s">
        <x:v>360</x:v>
      </x:c>
      <x:c r="C12" s="43" t="n">
        <x:f>CHURN</x:f>
        <x:v>0.05</x:v>
      </x:c>
      <x:c r="D12" s="18" t="s">
        <x:v>361</x:v>
      </x:c>
    </x:row>
    <x:row r="13" ht="22.049999237060547" customHeight="1">
      <x:c r="B13" s="6" t="s">
        <x:v>362</x:v>
      </x:c>
      <x:c r="C13" s="39" t="n">
        <x:f>IF(CHURN=0,0,1/CHURN)</x:f>
        <x:v>20</x:v>
      </x:c>
      <x:c r="D13" s="15" t="s">
        <x:v>363</x:v>
      </x:c>
    </x:row>
    <x:row r="14" ht="22.049999237060547" customHeight="1">
      <x:c r="B14" s="8" t="s">
        <x:v>364</x:v>
      </x:c>
      <x:c r="C14" s="35" t="n">
        <x:f>C10*C13</x:f>
        <x:v>115965.91992</x:v>
      </x:c>
      <x:c r="D14" s="18" t="s">
        <x:v>365</x:v>
      </x:c>
    </x:row>
    <x:row r="15" ht="22.049999237060547" customHeight="1">
      <x:c r="B15" s="6" t="s">
        <x:v>366</x:v>
      </x:c>
      <x:c r="C15" s="52" t="n">
        <x:f>AVERAGE(Затраты!I10:N10)/AVERAGE(Выручка!I6:N6)</x:f>
        <x:v>8329.925084419694</x:v>
      </x:c>
      <x:c r="D15" s="15" t="s">
        <x:v>367</x:v>
      </x:c>
    </x:row>
    <x:row r="16" ht="22.049999237060547" customHeight="1">
      <x:c r="B16" s="8" t="s">
        <x:v>7</x:v>
      </x:c>
      <x:c r="C16" s="53" t="n">
        <x:f>IF(C15=0,0,C14/C15)</x:f>
        <x:v>13.921604185480954</x:v>
      </x:c>
      <x:c r="D16" s="18" t="s">
        <x:v>307</x:v>
      </x:c>
    </x:row>
    <x:row r="17" ht="22.049999237060547" customHeight="1">
      <x:c r="B17" s="6" t="s">
        <x:v>368</x:v>
      </x:c>
      <x:c r="C17" s="39" t="n">
        <x:f>IF(C10=0,0,C15/C10)</x:f>
        <x:v>1.4366160489506157</x:v>
      </x:c>
      <x:c r="D17" s="15" t="s">
        <x:v>369</x:v>
      </x:c>
    </x:row>
    <x:row r="18" ht="22.049999237060547" customHeight="1">
      <x:c r="B18" s="8" t="s">
        <x:v>370</x:v>
      </x:c>
      <x:c r="C18" s="35" t="n">
        <x:f>C5*12</x:f>
        <x:v>72629.976</x:v>
      </x:c>
      <x:c r="D18" s="18" t="s">
        <x:v>371</x:v>
      </x:c>
    </x:row>
  </x:sheetData>
  <x:mergeCells>
    <x:mergeCell ref="B2:D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48" customWidth="1"/>
    <x:col min="3" max="3" width="17" customWidth="1"/>
    <x:col min="4" max="4" width="55" customWidth="1"/>
  </x:cols>
  <x:sheetData>
    <x:row r="1" ht="15" customHeight="1"/>
    <x:row r="2" ht="31.950000762939453" customHeight="1">
      <x:c r="B2" s="63" t="s">
        <x:v>372</x:v>
      </x:c>
      <x:c r="C2" s="62"/>
      <x:c r="D2" s="62"/>
    </x:row>
    <x:row r="3" ht="7.949999809265137" customHeight="1"/>
    <x:row r="4" ht="28.049999237060547" customHeight="1">
      <x:c r="B4" s="12" t="s">
        <x:v>142</x:v>
      </x:c>
      <x:c r="C4" s="12" t="s">
        <x:v>19</x:v>
      </x:c>
      <x:c r="D4" s="12" t="s">
        <x:v>295</x:v>
      </x:c>
    </x:row>
    <x:row r="5" ht="37.95000076293945" customHeight="1">
      <x:c r="B5" s="6" t="s">
        <x:v>373</x:v>
      </x:c>
      <x:c r="C5" s="24" t="n">
        <x:f>PAYROLL_LATE+INFRA_FIX+OPEX_OTHER</x:f>
        <x:v>1215000</x:v>
      </x:c>
      <x:c r="D5" s="15" t="s">
        <x:v>374</x:v>
      </x:c>
    </x:row>
    <x:row r="6" ht="22.049999237060547" customHeight="1">
      <x:c r="B6" s="8" t="s">
        <x:v>356</x:v>
      </x:c>
      <x:c r="C6" s="44" t="n">
        <x:f>'Юнит-экономика'!C10</x:f>
        <x:v>5798.295996</x:v>
      </x:c>
      <x:c r="D6" s="18" t="s">
        <x:v>375</x:v>
      </x:c>
    </x:row>
    <x:row r="7" ht="37.95000076293945" customHeight="1">
      <x:c r="B7" s="6" t="s">
        <x:v>376</x:v>
      </x:c>
      <x:c r="C7" s="36" t="n">
        <x:f>ROUNDUP(C5/C6+0.001,0)</x:f>
        <x:v>210</x:v>
      </x:c>
      <x:c r="D7" s="15" t="s">
        <x:v>377</x:v>
      </x:c>
    </x:row>
    <x:row r="8" ht="22.049999237060547" customHeight="1">
      <x:c r="B8" s="8" t="s">
        <x:v>6</x:v>
      </x:c>
      <x:c r="C8" s="50" t="n">
        <x:f>IF(COUNTIF(Затраты!C15:Z15,"&lt;=0")&gt;=24,"не достигается",COUNTIF(Затраты!C15:Z15,"&lt;=0")+1)</x:f>
        <x:v>14</x:v>
      </x:c>
      <x:c r="D8" s="18" t="s">
        <x:v>378</x:v>
      </x:c>
    </x:row>
    <x:row r="9" ht="22.049999237060547" customHeight="1">
      <x:c r="B9" s="6" t="s">
        <x:v>379</x:v>
      </x:c>
      <x:c r="C9" s="49" t="n">
        <x:f>Выручка!Z8</x:f>
        <x:v>1021.5552215359961</x:v>
      </x:c>
      <x:c r="D9" s="15" t="s">
        <x:v>380</x:v>
      </x:c>
    </x:row>
    <x:row r="10" ht="37.95000076293945" customHeight="1">
      <x:c r="B10" s="8" t="s">
        <x:v>381</x:v>
      </x:c>
      <x:c r="C10" s="44" t="n">
        <x:f>MIN(Затраты!C16:Z16)</x:f>
        <x:v>-6470768.973339723</x:v>
      </x:c>
      <x:c r="D10" s="18" t="s">
        <x:v>382</x:v>
      </x:c>
    </x:row>
    <x:row r="13">
      <x:c r="B13" s="10" t="s">
        <x:v>328</x:v>
      </x:c>
    </x:row>
    <x:row r="14">
      <x:c r="B14" s="10" t="s">
        <x:v>329</x:v>
      </x:c>
      <x:c r="C14" s="10" t="s">
        <x:v>12</x:v>
      </x:c>
      <x:c r="D14" s="10" t="s">
        <x:v>383</x:v>
      </x:c>
    </x:row>
    <x:row r="15">
      <x:c r="B15" s="10">
        <x:v>1</x:v>
      </x:c>
      <x:c r="C15" s="11" t="n">
        <x:f>'Выручка'!C18</x:f>
        <x:v>76010.19625000001</x:v>
      </x:c>
      <x:c r="D15" s="11" t="n">
        <x:f>'Затраты'!C14</x:f>
        <x:v>779987.436245</x:v>
      </x:c>
    </x:row>
    <x:row r="16">
      <x:c r="B16" s="10">
        <x:v>2</x:v>
      </x:c>
      <x:c r="C16" s="11" t="n">
        <x:f>'Выручка'!D18</x:f>
        <x:v>155060.80035</x:v>
      </x:c>
      <x:c r="D16" s="11" t="n">
        <x:f>'Затраты'!D14</x:f>
        <x:v>792572.3699398</x:v>
      </x:c>
    </x:row>
    <x:row r="17">
      <x:c r="B17" s="10">
        <x:v>3</x:v>
      </x:c>
      <x:c r="C17" s="11" t="n">
        <x:f>'Выручка'!E18</x:f>
        <x:v>238025.92955687505</x:v>
      </x:c>
      <x:c r="D17" s="11" t="n">
        <x:f>'Затраты'!E14</x:f>
        <x:v>806711.9566012175</x:v>
      </x:c>
    </x:row>
    <x:row r="18">
      <x:c r="B18" s="10">
        <x:v>4</x:v>
      </x:c>
      <x:c r="C18" s="11" t="n">
        <x:f>'Выручка'!F18</x:f>
        <x:v>325889.9159120625</x:v>
      </x:c>
      <x:c r="D18" s="11" t="n">
        <x:f>'Затраты'!F14</x:f>
        <x:v>822656.0485286253</x:v>
      </x:c>
    </x:row>
    <x:row r="19">
      <x:c r="B19" s="10">
        <x:v>5</x:v>
      </x:c>
      <x:c r="C19" s="11" t="n">
        <x:f>'Выручка'!G18</x:f>
        <x:v>419764.8835994454</x:v>
      </x:c>
      <x:c r="D19" s="11" t="n">
        <x:f>'Затраты'!G14</x:f>
        <x:v>840691.1431485829</x:v>
      </x:c>
    </x:row>
    <x:row r="20">
      <x:c r="B20" s="10">
        <x:v>6</x:v>
      </x:c>
      <x:c r="C20" s="11" t="n">
        <x:f>'Выручка'!H18</x:f>
        <x:v>520910.91064990684</x:v>
      </x:c>
      <x:c r="D20" s="11" t="n">
        <x:f>'Затраты'!H14</x:f>
        <x:v>861145.921419801</x:v>
      </x:c>
    </x:row>
    <x:row r="21">
      <x:c r="B21" s="10">
        <x:v>7</x:v>
      </x:c>
      <x:c r="C21" s="11" t="n">
        <x:f>'Выручка'!I18</x:f>
        <x:v>630759.1652574104</x:v>
      </x:c>
      <x:c r="D21" s="11" t="n">
        <x:f>'Затраты'!I14</x:f>
        <x:v>1434397.6149170552</x:v>
      </x:c>
    </x:row>
    <x:row r="22">
      <x:c r="B22" s="10">
        <x:v>8</x:v>
      </x:c>
      <x:c r="C22" s="11" t="n">
        <x:f>'Выручка'!J18</x:f>
        <x:v>750938.4653805385</x:v>
      </x:c>
      <x:c r="D22" s="11" t="n">
        <x:f>'Затраты'!J14</x:f>
        <x:v>1460879.3259999836</x:v>
      </x:c>
    </x:row>
    <x:row r="23">
      <x:c r="B23" s="10">
        <x:v>9</x:v>
      </x:c>
      <x:c r="C23" s="11" t="n">
        <x:f>'Выручка'!K18</x:f>
        <x:v>883305.77748041</x:v>
      </x:c>
      <x:c r="D23" s="11" t="n">
        <x:f>'Затраты'!K14</x:f>
        <x:v>1491088.4441283825</x:v>
      </x:c>
    </x:row>
    <x:row r="24">
      <x:c r="B24" s="10">
        <x:v>10</x:v>
      </x:c>
      <x:c r="C24" s="11" t="n">
        <x:f>'Выручка'!L18</x:f>
        <x:v>1029981.2475056228</x:v>
      </x:c>
      <x:c r="D24" s="11" t="n">
        <x:f>'Затраты'!L14</x:f>
        <x:v>1525596.322839921</x:v>
      </x:c>
    </x:row>
    <x:row r="25">
      <x:c r="B25" s="10">
        <x:v>11</x:v>
      </x:c>
      <x:c r="C25" s="11" t="n">
        <x:f>'Выручка'!M18</x:f>
        <x:v>1193388.44608946</x:v>
      </x:c>
      <x:c r="D25" s="11" t="n">
        <x:f>'Затраты'!M14</x:f>
        <x:v>1565059.4065788765</x:v>
      </x:c>
    </x:row>
    <x:row r="26">
      <x:c r="B26" s="10">
        <x:v>12</x:v>
      </x:c>
      <x:c r="C26" s="11" t="n">
        <x:f>'Выручка'!N18</x:f>
        <x:v>1376300.6121129731</x:v>
      </x:c>
      <x:c r="D26" s="11" t="n">
        <x:f>'Затраты'!N14</x:f>
        <x:v>1610232.0249383268</x:v>
      </x:c>
    </x:row>
    <x:row r="27">
      <x:c r="B27" s="10">
        <x:v>13</x:v>
      </x:c>
      <x:c r="C27" s="11" t="n">
        <x:f>'Выручка'!O18</x:f>
        <x:v>1581893.7963095084</x:v>
      </x:c>
      <x:c r="D27" s="11" t="n">
        <x:f>'Затраты'!O14</x:f>
        <x:v>1661981.104508364</x:v>
      </x:c>
    </x:row>
    <x:row r="28">
      <x:c r="B28" s="10">
        <x:v>14</x:v>
      </x:c>
      <x:c r="C28" s="11" t="n">
        <x:f>'Выручка'!P18</x:f>
        <x:v>1813807.941741544</x:v>
      </x:c>
      <x:c r="D28" s="11" t="n">
        <x:f>'Затраты'!P14</x:f>
        <x:v>1721303.086047742</x:v>
      </x:c>
    </x:row>
    <x:row r="29">
      <x:c r="B29" s="10">
        <x:v>15</x:v>
      </x:c>
      <x:c r="C29" s="11" t="n">
        <x:f>'Выручка'!Q18</x:f>
        <x:v>2076217.093414105</x:v>
      </x:c>
      <x:c r="D29" s="11" t="n">
        <x:f>'Затраты'!Q14</x:f>
        <x:v>1789343.3778501707</x:v>
      </x:c>
    </x:row>
    <x:row r="30">
      <x:c r="B30" s="10">
        <x:v>16</x:v>
      </x:c>
      <x:c r="C30" s="11" t="n">
        <x:f>'Выручка'!R18</x:f>
        <x:v>2373910.1080419836</x:v>
      </x:c>
      <x:c r="D30" s="11" t="n">
        <x:f>'Затраты'!R14</x:f>
        <x:v>1867418.7258035005</x:v>
      </x:c>
    </x:row>
    <x:row r="31">
      <x:c r="B31" s="10">
        <x:v>17</x:v>
      </x:c>
      <x:c r="C31" s="11" t="n">
        <x:f>'Выручка'!S18</x:f>
        <x:v>2712383.4405582557</x:v>
      </x:c>
      <x:c r="D31" s="11" t="n">
        <x:f>'Затраты'!S14</x:f>
        <x:v>1957042.937711339</x:v>
      </x:c>
    </x:row>
    <x:row r="32">
      <x:c r="B32" s="10">
        <x:v>18</x:v>
      </x:c>
      <x:c r="C32" s="11" t="n">
        <x:f>'Выручка'!T18</x:f>
        <x:v>3097947.820361469</x:v>
      </x:c>
      <x:c r="D32" s="11" t="n">
        <x:f>'Затраты'!T14</x:f>
        <x:v>2059956.4650787883</x:v>
      </x:c>
    </x:row>
    <x:row r="33">
      <x:c r="B33" s="10">
        <x:v>19</x:v>
      </x:c>
      <x:c r="C33" s="11" t="n">
        <x:f>'Выручка'!U18</x:f>
        <x:v>3537850.902174191</x:v>
      </x:c>
      <x:c r="D33" s="11" t="n">
        <x:f>'Затраты'!U14</x:f>
        <x:v>2178160.421041117</x:v>
      </x:c>
    </x:row>
    <x:row r="34">
      <x:c r="B34" s="10">
        <x:v>20</x:v>
      </x:c>
      <x:c r="C34" s="11" t="n">
        <x:f>'Выручка'!V18</x:f>
        <x:v>4040418.2890458973</x:v>
      </x:c>
      <x:c r="D34" s="11" t="n">
        <x:f>'Затраты'!V14</x:f>
        <x:v>2313955.6999130696</x:v>
      </x:c>
    </x:row>
    <x:row r="35">
      <x:c r="B35" s="10">
        <x:v>21</x:v>
      </x:c>
      <x:c r="C35" s="11" t="n">
        <x:f>'Выручка'!W18</x:f>
        <x:v>4615215.684596079</x:v>
      </x:c>
      <x:c r="D35" s="11" t="n">
        <x:f>'Затраты'!W14</x:f>
        <x:v>2469987.963655326</x:v>
      </x:c>
    </x:row>
    <x:row r="36">
      <x:c r="B36" s="10">
        <x:v>22</x:v>
      </x:c>
      <x:c r="C36" s="11" t="n">
        <x:f>'Выручка'!X18</x:f>
        <x:v>5174960.941366275</x:v>
      </x:c>
      <x:c r="D36" s="11" t="n">
        <x:f>'Затраты'!X14</x:f>
        <x:v>2512008.492080695</x:v>
      </x:c>
    </x:row>
    <x:row r="37">
      <x:c r="B37" s="10">
        <x:v>23</x:v>
      </x:c>
      <x:c r="C37" s="11" t="n">
        <x:f>'Выручка'!Y18</x:f>
        <x:v>5706718.935297961</x:v>
      </x:c>
      <x:c r="D37" s="11" t="n">
        <x:f>'Затраты'!Y14</x:f>
        <x:v>2534307.40442466</x:v>
      </x:c>
    </x:row>
    <x:row r="38">
      <x:c r="B38" s="10">
        <x:v>24</x:v>
      </x:c>
      <x:c r="C38" s="11" t="n">
        <x:f>'Выручка'!Z18</x:f>
        <x:v>6211889.029533065</x:v>
      </x:c>
      <x:c r="D38" s="11" t="n">
        <x:f>'Затраты'!Z14</x:f>
        <x:v>2555491.371151427</x:v>
      </x:c>
    </x:row>
  </x:sheetData>
  <x:mergeCells>
    <x:mergeCell ref="B2:D2"/>
  </x:mergeCells>
  <x:pageMargins left="0.7" right="0.7" top="0.75" bottom="0.75" header="0.3" footer="0.3"/>
  <x:drawing xmlns:r="http://schemas.openxmlformats.org/officeDocument/2006/relationships" r:id="rId1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40" customWidth="1"/>
    <x:col min="3" max="7" width="18" customWidth="1"/>
  </x:cols>
  <x:sheetData>
    <x:row r="1" ht="15" customHeight="1"/>
    <x:row r="2" ht="31.950000762939453" customHeight="1">
      <x:c r="B2" s="63" t="s">
        <x:v>384</x:v>
      </x:c>
      <x:c r="C2" s="62"/>
      <x:c r="D2" s="62"/>
      <x:c r="E2" s="62"/>
      <x:c r="F2" s="62"/>
    </x:row>
    <x:row r="3" ht="7.949999809265137" customHeight="1"/>
    <x:row r="4" ht="24" customHeight="1">
      <x:c r="B4" s="68" t="s">
        <x:v>385</x:v>
      </x:c>
      <x:c r="C4" s="62"/>
      <x:c r="D4" s="62"/>
      <x:c r="E4" s="62"/>
      <x:c r="F4" s="62"/>
    </x:row>
    <x:row r="5" ht="28.049999237060547" customHeight="1">
      <x:c r="B5" s="12" t="s">
        <x:v>386</x:v>
      </x:c>
      <x:c r="C5" s="12" t="s">
        <x:v>387</x:v>
      </x:c>
      <x:c r="D5" s="12" t="s">
        <x:v>388</x:v>
      </x:c>
      <x:c r="E5" s="12" t="s">
        <x:v>389</x:v>
      </x:c>
      <x:c r="F5" s="12"/>
    </x:row>
    <x:row r="6" ht="22.049999237060547" customHeight="1">
      <x:c r="B6" s="6" t="s">
        <x:v>112</x:v>
      </x:c>
      <x:c r="C6" s="19">
        <x:v>0.08</x:v>
      </x:c>
      <x:c r="D6" s="19">
        <x:v>0.15</x:v>
      </x:c>
      <x:c r="E6" s="19">
        <x:v>0.22</x:v>
      </x:c>
      <x:c r="F6" s="7"/>
    </x:row>
    <x:row r="7" ht="22.049999237060547" customHeight="1">
      <x:c r="B7" s="8" t="s">
        <x:v>117</x:v>
      </x:c>
      <x:c r="C7" s="20">
        <x:v>0.15</x:v>
      </x:c>
      <x:c r="D7" s="20">
        <x:v>0.25</x:v>
      </x:c>
      <x:c r="E7" s="20">
        <x:v>0.35</x:v>
      </x:c>
      <x:c r="F7" s="9"/>
    </x:row>
    <x:row r="8" ht="22.049999237060547" customHeight="1">
      <x:c r="B8" s="6" t="s">
        <x:v>121</x:v>
      </x:c>
      <x:c r="C8" s="19">
        <x:v>0.08</x:v>
      </x:c>
      <x:c r="D8" s="19">
        <x:v>0.05</x:v>
      </x:c>
      <x:c r="E8" s="19">
        <x:v>3.5000000000000003E-2</x:v>
      </x:c>
      <x:c r="F8" s="7"/>
    </x:row>
    <x:row r="9" ht="22.049999237060547" customHeight="1">
      <x:c r="B9" s="8" t="s">
        <x:v>390</x:v>
      </x:c>
      <x:c r="C9" s="16">
        <x:v>3000</x:v>
      </x:c>
      <x:c r="D9" s="16">
        <x:v>2000</x:v>
      </x:c>
      <x:c r="E9" s="16">
        <x:v>1500</x:v>
      </x:c>
      <x:c r="F9" s="9"/>
    </x:row>
    <x:row r="10" ht="22.049999237060547" customHeight="1"/>
    <x:row r="11" ht="24" customHeight="1">
      <x:c r="B11" s="68" t="s">
        <x:v>391</x:v>
      </x:c>
      <x:c r="C11" s="62"/>
      <x:c r="D11" s="62"/>
      <x:c r="E11" s="62"/>
      <x:c r="F11" s="62"/>
    </x:row>
    <x:row r="12" ht="28.049999237060547" customHeight="1">
      <x:c r="B12" s="12" t="s">
        <x:v>142</x:v>
      </x:c>
      <x:c r="C12" s="12" t="s">
        <x:v>387</x:v>
      </x:c>
      <x:c r="D12" s="12" t="s">
        <x:v>388</x:v>
      </x:c>
      <x:c r="E12" s="12" t="s">
        <x:v>389</x:v>
      </x:c>
      <x:c r="F12" s="12"/>
    </x:row>
    <x:row r="13" ht="22.049999237060547" customHeight="1">
      <x:c r="B13" s="6" t="s">
        <x:v>392</x:v>
      </x:c>
      <x:c r="C13" s="36" t="n">
        <x:f ca="1">SUMPRODUCT((TRIALS_M1*C7*(1+C6)^(ROW(INDIRECT("1:24"))-1)+DIRECT_NEW)*(1-C8)^(24-ROW(INDIRECT("1:24"))))</x:f>
        <x:v>6.526783950929671</x:v>
      </x:c>
      <x:c r="D13" s="36" t="n">
        <x:f ca="1">SUMPRODUCT((TRIALS_M1*D7*(1+D6)^(ROW(INDIRECT("1:24"))-1)+DIRECT_NEW)*(1-D8)^(24-ROW(INDIRECT("1:24"))))</x:f>
        <x:v>25.668171114099163</x:v>
      </x:c>
      <x:c r="E13" s="36" t="n">
        <x:f ca="1">SUMPRODUCT((TRIALS_M1*E7*(1+E6)^(ROW(INDIRECT("1:24"))-1)+DIRECT_NEW)*(1-E8)^(24-ROW(INDIRECT("1:24"))))</x:f>
        <x:v>80.52384964006664</x:v>
      </x:c>
      <x:c r="F13" s="7"/>
    </x:row>
    <x:row r="14" ht="22.049999237060547" customHeight="1">
      <x:c r="B14" s="8" t="s">
        <x:v>393</x:v>
      </x:c>
      <x:c r="C14" s="44" t="n">
        <x:f ca="1">SUMPRODUCT((TRIALS_M1*C7*(1+C6)^(ROW(INDIRECT("1:24"))-1)+DIRECT_NEW)*(1-C8)^(24-ROW(INDIRECT("1:24"))))*'Юнит-экономика'!$C$5</x:f>
        <x:v>45321.83998047518</x:v>
      </x:c>
      <x:c r="D14" s="44" t="n">
        <x:f ca="1">SUMPRODUCT((TRIALS_M1*D7*(1+D6)^(ROW(INDIRECT("1:24"))-1)+DIRECT_NEW)*(1-D8)^(24-ROW(INDIRECT("1:24"))))*'Юнит-экономика'!$C$5</x:f>
        <x:v>185345.3067535022</x:v>
      </x:c>
      <x:c r="E14" s="44" t="n">
        <x:f ca="1">SUMPRODUCT((TRIALS_M1*E7*(1+E6)^(ROW(INDIRECT("1:24"))-1)+DIRECT_NEW)*(1-E8)^(24-ROW(INDIRECT("1:24"))))*'Юнит-экономика'!$C$5</x:f>
        <x:v>611495.1432988326</x:v>
      </x:c>
      <x:c r="F14" s="9"/>
    </x:row>
    <x:row r="15" ht="22.049999237060547" customHeight="1">
      <x:c r="B15" s="6" t="s">
        <x:v>394</x:v>
      </x:c>
      <x:c r="C15" s="52" t="n">
        <x:f ca="1">SUMPRODUCT((TRIALS_M1*C7*(1+C6)^(ROW(INDIRECT("1:24"))-1)+DIRECT_NEW)*(1-C8)^(24-ROW(INDIRECT("1:24"))))*'Юнит-экономика'!$C$5*12</x:f>
        <x:v>624729.5618967201</x:v>
      </x:c>
      <x:c r="D15" s="52" t="n">
        <x:f ca="1">SUMPRODUCT((TRIALS_M1*D7*(1+D6)^(ROW(INDIRECT("1:24"))-1)+DIRECT_NEW)*(1-D8)^(24-ROW(INDIRECT("1:24"))))*'Юнит-экономика'!$C$5*12</x:f>
        <x:v>2658053.2063715076</x:v>
      </x:c>
      <x:c r="E15" s="52" t="n">
        <x:f ca="1">SUMPRODUCT((TRIALS_M1*E7*(1+E6)^(ROW(INDIRECT("1:24"))-1)+DIRECT_NEW)*(1-E8)^(24-ROW(INDIRECT("1:24"))))*'Юнит-экономика'!$C$5*12</x:f>
        <x:v>9219006.491868855</x:v>
      </x:c>
      <x:c r="F15" s="7"/>
    </x:row>
    <x:row r="16" ht="22.049999237060547" customHeight="1">
      <x:c r="B16" s="8" t="s">
        <x:v>395</x:v>
      </x:c>
      <x:c r="C16" s="35" t="n">
        <x:f>(C9+(LLM_VAC+10*LLM_INV+2*LLM_CHAT)*LLM_BUF+SUPPORT_TRIAL+INFRA_PER_EMP)/C7</x:f>
        <x:v>21781.733333333337</x:v>
      </x:c>
      <x:c r="D16" s="35" t="n">
        <x:f>(D9+(LLM_VAC+10*LLM_INV+2*LLM_CHAT)*LLM_BUF+SUPPORT_TRIAL+INFRA_PER_EMP)/D7</x:f>
        <x:v>9069.04</x:v>
      </x:c>
      <x:c r="E16" s="35" t="n">
        <x:f>(E9+(LLM_VAC+10*LLM_INV+2*LLM_CHAT)*LLM_BUF+SUPPORT_TRIAL+INFRA_PER_EMP)/E7</x:f>
        <x:v>5049.314285714286</x:v>
      </x:c>
      <x:c r="F16" s="9"/>
    </x:row>
    <x:row r="17" ht="22.049999237060547" customHeight="1">
      <x:c r="B17" s="6" t="s">
        <x:v>7</x:v>
      </x:c>
      <x:c r="C17" s="45" t="n">
        <x:f>'Юнит-экономика'!$C$14/C16</x:f>
        <x:v>5.323998698603722</x:v>
      </x:c>
      <x:c r="D17" s="45" t="n">
        <x:f>'Юнит-экономика'!$C$14/D16</x:f>
        <x:v>12.78701162636839</x:v>
      </x:c>
      <x:c r="E17" s="45" t="n">
        <x:f>'Юнит-экономика'!$C$14/E16</x:f>
        <x:v>22.96666702805473</x:v>
      </x:c>
      <x:c r="F17" s="7"/>
    </x:row>
    <x:row r="18" ht="22.049999237060547" customHeight="1"/>
    <x:row r="19" ht="24" customHeight="1">
      <x:c r="B19" s="68" t="s">
        <x:v>396</x:v>
      </x:c>
      <x:c r="C19" s="62"/>
      <x:c r="D19" s="62"/>
      <x:c r="E19" s="62"/>
      <x:c r="F19" s="62"/>
    </x:row>
    <x:row r="20" ht="28.049999237060547" customHeight="1">
      <x:c r="B20" s="12" t="s">
        <x:v>397</x:v>
      </x:c>
      <x:c r="C20" s="54">
        <x:v>0.15</x:v>
      </x:c>
      <x:c r="D20" s="54">
        <x:v>0.2</x:v>
      </x:c>
      <x:c r="E20" s="54">
        <x:v>0.25</x:v>
      </x:c>
      <x:c r="F20" s="54">
        <x:v>0.3</x:v>
      </x:c>
      <x:c r="G20" s="54">
        <x:v>0.35</x:v>
      </x:c>
    </x:row>
    <x:row r="21" ht="22.049999237060547" customHeight="1">
      <x:c r="B21" s="55">
        <x:v>0.08</x:v>
      </x:c>
      <x:c r="C21" s="56" t="n">
        <x:f ca="1">SUMPRODUCT((TRIALS_M1*C$20*(1+$B21)^(ROW(INDIRECT("1:24"))-1)+DIRECT_NEW)*(1-CHURN)^(24-ROW(INDIRECT("1:24"))))*'Юнит-экономика'!$C$5*12/1000000000</x:f>
        <x:v>0.001617449344639983</x:v>
      </x:c>
      <x:c r="D21" s="56" t="n">
        <x:f ca="1">SUMPRODUCT((TRIALS_M1*D$20*(1+$B21)^(ROW(INDIRECT("1:24"))-1)+DIRECT_NEW)*(1-CHURN)^(24-ROW(INDIRECT("1:24"))))*'Юнит-экономика'!$C$5*12/1000000000</x:f>
        <x:v>0.002052813916731644</x:v>
      </x:c>
      <x:c r="E21" s="56" t="n">
        <x:f ca="1">SUMPRODUCT((TRIALS_M1*E$20*(1+$B21)^(ROW(INDIRECT("1:24"))-1)+DIRECT_NEW)*(1-CHURN)^(24-ROW(INDIRECT("1:24"))))*'Юнит-экономика'!$C$5*12/1000000000</x:f>
        <x:v>0.0024881784888233054</x:v>
      </x:c>
      <x:c r="F21" s="56" t="n">
        <x:f ca="1">SUMPRODUCT((TRIALS_M1*F$20*(1+$B21)^(ROW(INDIRECT("1:24"))-1)+DIRECT_NEW)*(1-CHURN)^(24-ROW(INDIRECT("1:24"))))*'Юнит-экономика'!$C$5*12/1000000000</x:f>
        <x:v>0.002923543060914966</x:v>
      </x:c>
      <x:c r="G21" s="56" t="n">
        <x:f ca="1">SUMPRODUCT((TRIALS_M1*G$20*(1+$B21)^(ROW(INDIRECT("1:24"))-1)+DIRECT_NEW)*(1-CHURN)^(24-ROW(INDIRECT("1:24"))))*'Юнит-экономика'!$C$5*12/1000000000</x:f>
        <x:v>0.003358907633006627</x:v>
      </x:c>
    </x:row>
    <x:row r="22" ht="22.049999237060547" customHeight="1">
      <x:c r="B22" s="55">
        <x:v>0.12</x:v>
      </x:c>
      <x:c r="C22" s="57" t="n">
        <x:f ca="1">SUMPRODUCT((TRIALS_M1*C$20*(1+$B22)^(ROW(INDIRECT("1:24"))-1)+DIRECT_NEW)*(1-CHURN)^(24-ROW(INDIRECT("1:24"))))*'Юнит-экономика'!$C$5*12/1000000000</x:f>
        <x:v>0.0035145375757833467</x:v>
      </x:c>
      <x:c r="D22" s="57" t="n">
        <x:f ca="1">SUMPRODUCT((TRIALS_M1*D$20*(1+$B22)^(ROW(INDIRECT("1:24"))-1)+DIRECT_NEW)*(1-CHURN)^(24-ROW(INDIRECT("1:24"))))*'Юнит-экономика'!$C$5*12/1000000000</x:f>
        <x:v>0.004576802512144462</x:v>
      </x:c>
      <x:c r="E22" s="57" t="n">
        <x:f ca="1">SUMPRODUCT((TRIALS_M1*E$20*(1+$B22)^(ROW(INDIRECT("1:24"))-1)+DIRECT_NEW)*(1-CHURN)^(24-ROW(INDIRECT("1:24"))))*'Юнит-экономика'!$C$5*12/1000000000</x:f>
        <x:v>0.005639067448505577</x:v>
      </x:c>
      <x:c r="F22" s="57" t="n">
        <x:f ca="1">SUMPRODUCT((TRIALS_M1*F$20*(1+$B22)^(ROW(INDIRECT("1:24"))-1)+DIRECT_NEW)*(1-CHURN)^(24-ROW(INDIRECT("1:24"))))*'Юнит-экономика'!$C$5*12/1000000000</x:f>
        <x:v>0.006701332384866692</x:v>
      </x:c>
      <x:c r="G22" s="57" t="n">
        <x:f ca="1">SUMPRODUCT((TRIALS_M1*G$20*(1+$B22)^(ROW(INDIRECT("1:24"))-1)+DIRECT_NEW)*(1-CHURN)^(24-ROW(INDIRECT("1:24"))))*'Юнит-экономика'!$C$5*12/1000000000</x:f>
        <x:v>0.00776359732122781</x:v>
      </x:c>
    </x:row>
    <x:row r="23" ht="22.049999237060547" customHeight="1">
      <x:c r="B23" s="55">
        <x:v>0.15</x:v>
      </x:c>
      <x:c r="C23" s="56" t="n">
        <x:f ca="1">SUMPRODUCT((TRIALS_M1*C$20*(1+$B23)^(ROW(INDIRECT("1:24"))-1)+DIRECT_NEW)*(1-CHURN)^(24-ROW(INDIRECT("1:24"))))*'Юнит-экономика'!$C$5*12/1000000000</x:f>
        <x:v>0.007065537603739757</x:v>
      </x:c>
      <x:c r="D23" s="56" t="n">
        <x:f ca="1">SUMPRODUCT((TRIALS_M1*D$20*(1+$B23)^(ROW(INDIRECT("1:24"))-1)+DIRECT_NEW)*(1-CHURN)^(24-ROW(INDIRECT("1:24"))))*'Юнит-экономика'!$C$5*12/1000000000</x:f>
        <x:v>0.009305719342986341</x:v>
      </x:c>
      <x:c r="E23" s="58" t="n">
        <x:f ca="1">SUMPRODUCT((TRIALS_M1*E$20*(1+$B23)^(ROW(INDIRECT("1:24"))-1)+DIRECT_NEW)*(1-CHURN)^(24-ROW(INDIRECT("1:24"))))*'Юнит-экономика'!$C$5*12/1000000000</x:f>
        <x:v>0.01154590108223293</x:v>
      </x:c>
      <x:c r="F23" s="56" t="n">
        <x:f ca="1">SUMPRODUCT((TRIALS_M1*F$20*(1+$B23)^(ROW(INDIRECT("1:24"))-1)+DIRECT_NEW)*(1-CHURN)^(24-ROW(INDIRECT("1:24"))))*'Юнит-экономика'!$C$5*12/1000000000</x:f>
        <x:v>0.013786082821479514</x:v>
      </x:c>
      <x:c r="G23" s="56" t="n">
        <x:f ca="1">SUMPRODUCT((TRIALS_M1*G$20*(1+$B23)^(ROW(INDIRECT("1:24"))-1)+DIRECT_NEW)*(1-CHURN)^(24-ROW(INDIRECT("1:24"))))*'Юнит-экономика'!$C$5*12/1000000000</x:f>
        <x:v>0.016026264560726103</x:v>
      </x:c>
    </x:row>
    <x:row r="24" ht="22.049999237060547" customHeight="1">
      <x:c r="B24" s="55">
        <x:v>0.18</x:v>
      </x:c>
      <x:c r="C24" s="57" t="n">
        <x:f ca="1">SUMPRODUCT((TRIALS_M1*C$20*(1+$B24)^(ROW(INDIRECT("1:24"))-1)+DIRECT_NEW)*(1-CHURN)^(24-ROW(INDIRECT("1:24"))))*'Юнит-экономика'!$C$5*12/1000000000</x:f>
        <x:v>0.015073214565028827</x:v>
      </x:c>
      <x:c r="D24" s="57" t="n">
        <x:f ca="1">SUMPRODUCT((TRIALS_M1*D$20*(1+$B24)^(ROW(INDIRECT("1:24"))-1)+DIRECT_NEW)*(1-CHURN)^(24-ROW(INDIRECT("1:24"))))*'Юнит-экономика'!$C$5*12/1000000000</x:f>
        <x:v>0.019976569460038434</x:v>
      </x:c>
      <x:c r="E24" s="57" t="n">
        <x:f ca="1">SUMPRODUCT((TRIALS_M1*E$20*(1+$B24)^(ROW(INDIRECT("1:24"))-1)+DIRECT_NEW)*(1-CHURN)^(24-ROW(INDIRECT("1:24"))))*'Юнит-экономика'!$C$5*12/1000000000</x:f>
        <x:v>0.024879924355048044</x:v>
      </x:c>
      <x:c r="F24" s="57" t="n">
        <x:f ca="1">SUMPRODUCT((TRIALS_M1*F$20*(1+$B24)^(ROW(INDIRECT("1:24"))-1)+DIRECT_NEW)*(1-CHURN)^(24-ROW(INDIRECT("1:24"))))*'Юнит-экономика'!$C$5*12/1000000000</x:f>
        <x:v>0.02978327925005765</x:v>
      </x:c>
      <x:c r="G24" s="57" t="n">
        <x:f ca="1">SUMPRODUCT((TRIALS_M1*G$20*(1+$B24)^(ROW(INDIRECT("1:24"))-1)+DIRECT_NEW)*(1-CHURN)^(24-ROW(INDIRECT("1:24"))))*'Юнит-экономика'!$C$5*12/1000000000</x:f>
        <x:v>0.034686634145067265</x:v>
      </x:c>
    </x:row>
    <x:row r="25" ht="22.049999237060547" customHeight="1">
      <x:c r="B25" s="55">
        <x:v>0.22</x:v>
      </x:c>
      <x:c r="C25" s="56" t="n">
        <x:f ca="1">SUMPRODUCT((TRIALS_M1*C$20*(1+$B25)^(ROW(INDIRECT("1:24"))-1)+DIRECT_NEW)*(1-CHURN)^(24-ROW(INDIRECT("1:24"))))*'Юнит-экономика'!$C$5*12/1000000000</x:f>
        <x:v>0.0410491328359331</x:v>
      </x:c>
      <x:c r="D25" s="56" t="n">
        <x:f ca="1">SUMPRODUCT((TRIALS_M1*D$20*(1+$B25)^(ROW(INDIRECT("1:24"))-1)+DIRECT_NEW)*(1-CHURN)^(24-ROW(INDIRECT("1:24"))))*'Юнит-экономика'!$C$5*12/1000000000</x:f>
        <x:v>0.05460475610405116</x:v>
      </x:c>
      <x:c r="E25" s="56" t="n">
        <x:f ca="1">SUMPRODUCT((TRIALS_M1*E$20*(1+$B25)^(ROW(INDIRECT("1:24"))-1)+DIRECT_NEW)*(1-CHURN)^(24-ROW(INDIRECT("1:24"))))*'Юнит-экономика'!$C$5*12/1000000000</x:f>
        <x:v>0.06816037937216919</x:v>
      </x:c>
      <x:c r="F25" s="56" t="n">
        <x:f ca="1">SUMPRODUCT((TRIALS_M1*F$20*(1+$B25)^(ROW(INDIRECT("1:24"))-1)+DIRECT_NEW)*(1-CHURN)^(24-ROW(INDIRECT("1:24"))))*'Юнит-экономика'!$C$5*12/1000000000</x:f>
        <x:v>0.08171600264028726</x:v>
      </x:c>
      <x:c r="G25" s="56" t="n">
        <x:f ca="1">SUMPRODUCT((TRIALS_M1*G$20*(1+$B25)^(ROW(INDIRECT("1:24"))-1)+DIRECT_NEW)*(1-CHURN)^(24-ROW(INDIRECT("1:24"))))*'Юнит-экономика'!$C$5*12/1000000000</x:f>
        <x:v>0.09527162590840534</x:v>
      </x:c>
    </x:row>
    <x:row r="26" ht="22.049999237060547" customHeight="1"/>
    <x:row r="27" ht="22.049999237060547" customHeight="1">
      <x:c r="B27" s="69" t="s">
        <x:v>398</x:v>
      </x:c>
      <x:c r="C27" s="62"/>
      <x:c r="D27" s="62"/>
      <x:c r="E27" s="62"/>
      <x:c r="F27" s="62"/>
    </x:row>
  </x:sheetData>
  <x:mergeCells>
    <x:mergeCell ref="B4:F4"/>
    <x:mergeCell ref="B2:F2"/>
    <x:mergeCell ref="B11:F11"/>
    <x:mergeCell ref="B19:F19"/>
    <x:mergeCell ref="B27:F2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3" customWidth="1"/>
    <x:col min="2" max="2" width="62" customWidth="1"/>
    <x:col min="3" max="3" width="30" customWidth="1"/>
    <x:col min="4" max="4" width="40" customWidth="1"/>
  </x:cols>
  <x:sheetData>
    <x:row r="1" ht="15" customHeight="1"/>
    <x:row r="2" ht="31.950000762939453" customHeight="1">
      <x:c r="B2" s="63" t="str">
        <x:v>Источники исходной модели; рыночные данные требуют актуализации</x:v>
      </x:c>
      <x:c r="C2" s="62"/>
      <x:c r="D2" s="62"/>
      <x:c r="E2" s="62"/>
    </x:row>
    <x:row r="3" ht="7.949999809265137" customHeight="1"/>
    <x:row r="4" ht="28.049999237060547" customHeight="1">
      <x:c r="B4" s="12" t="s">
        <x:v>399</x:v>
      </x:c>
      <x:c r="C4" s="12" t="s">
        <x:v>144</x:v>
      </x:c>
      <x:c r="D4" s="12" t="s">
        <x:v>400</x:v>
      </x:c>
      <x:c r="E4" s="12"/>
    </x:row>
    <x:row r="5" ht="37.95000076293945" customHeight="1">
      <x:c r="B5" s="6" t="s">
        <x:v>401</x:v>
      </x:c>
      <x:c r="C5" s="6" t="s">
        <x:v>271</x:v>
      </x:c>
      <x:c r="D5" s="15" t="s">
        <x:v>402</x:v>
      </x:c>
      <x:c r="E5" s="7"/>
    </x:row>
    <x:row r="6" ht="22.049999237060547" customHeight="1">
      <x:c r="B6" s="8" t="s">
        <x:v>403</x:v>
      </x:c>
      <x:c r="C6" s="8" t="s">
        <x:v>404</x:v>
      </x:c>
      <x:c r="D6" s="18" t="s">
        <x:v>405</x:v>
      </x:c>
      <x:c r="E6" s="9"/>
    </x:row>
    <x:row r="7" ht="22.049999237060547" customHeight="1">
      <x:c r="B7" s="6" t="s">
        <x:v>406</x:v>
      </x:c>
      <x:c r="C7" s="6" t="s">
        <x:v>407</x:v>
      </x:c>
      <x:c r="D7" s="15" t="s">
        <x:v>408</x:v>
      </x:c>
      <x:c r="E7" s="7"/>
    </x:row>
    <x:row r="8" ht="22.049999237060547" customHeight="1">
      <x:c r="B8" s="8" t="s">
        <x:v>409</x:v>
      </x:c>
      <x:c r="C8" s="8" t="s">
        <x:v>410</x:v>
      </x:c>
      <x:c r="D8" s="18" t="s">
        <x:v>411</x:v>
      </x:c>
      <x:c r="E8" s="9"/>
    </x:row>
    <x:row r="9" ht="22.049999237060547" customHeight="1">
      <x:c r="B9" s="6" t="s">
        <x:v>412</x:v>
      </x:c>
      <x:c r="C9" s="6" t="s">
        <x:v>413</x:v>
      </x:c>
      <x:c r="D9" s="15" t="s">
        <x:v>414</x:v>
      </x:c>
      <x:c r="E9" s="7"/>
    </x:row>
    <x:row r="10" ht="22.049999237060547" customHeight="1">
      <x:c r="B10" s="8" t="s">
        <x:v>415</x:v>
      </x:c>
      <x:c r="C10" s="8" t="s">
        <x:v>179</x:v>
      </x:c>
      <x:c r="D10" s="18" t="s">
        <x:v>416</x:v>
      </x:c>
      <x:c r="E10" s="9"/>
    </x:row>
    <x:row r="11" ht="37.95000076293945" customHeight="1">
      <x:c r="B11" s="6" t="s">
        <x:v>417</x:v>
      </x:c>
      <x:c r="C11" s="6" t="s">
        <x:v>418</x:v>
      </x:c>
      <x:c r="D11" s="15" t="s">
        <x:v>419</x:v>
      </x:c>
      <x:c r="E11" s="7"/>
    </x:row>
    <x:row r="12" ht="37.95000076293945" customHeight="1">
      <x:c r="B12" s="8" t="s">
        <x:v>420</x:v>
      </x:c>
      <x:c r="C12" s="8" t="str">
        <x:v>Хабр Карьера: официальный прайс, проверен 11.10.2026</x:v>
      </x:c>
      <x:c r="D12" s="18" t="s">
        <x:v>421</x:v>
      </x:c>
      <x:c r="E12" s="9"/>
    </x:row>
    <x:row r="13" ht="37.95000076293945" customHeight="1">
      <x:c r="B13" s="6" t="s">
        <x:v>422</x:v>
      </x:c>
      <x:c r="C13" s="6" t="s">
        <x:v>423</x:v>
      </x:c>
      <x:c r="D13" s="15" t="s">
        <x:v>424</x:v>
      </x:c>
      <x:c r="E13" s="7"/>
    </x:row>
    <x:row r="14" ht="37.95000076293945" customHeight="1">
      <x:c r="B14" s="8" t="s">
        <x:v>425</x:v>
      </x:c>
      <x:c r="C14" s="8" t="s">
        <x:v>426</x:v>
      </x:c>
      <x:c r="D14" s="18" t="s">
        <x:v>427</x:v>
      </x:c>
      <x:c r="E14" s="9"/>
    </x:row>
    <x:row r="15" ht="22.049999237060547" customHeight="1">
      <x:c r="B15" s="6" t="s">
        <x:v>428</x:v>
      </x:c>
      <x:c r="C15" s="6" t="s">
        <x:v>164</x:v>
      </x:c>
      <x:c r="D15" s="15" t="s">
        <x:v>429</x:v>
      </x:c>
      <x:c r="E15" s="7"/>
    </x:row>
    <x:row r="16" ht="37.95000076293945" customHeight="1">
      <x:c r="B16" s="8" t="s">
        <x:v>430</x:v>
      </x:c>
      <x:c r="C16" s="8" t="s">
        <x:v>431</x:v>
      </x:c>
      <x:c r="D16" s="18" t="s">
        <x:v>432</x:v>
      </x:c>
      <x:c r="E16" s="9"/>
    </x:row>
    <x:row r="17" ht="37.95000076293945" customHeight="1">
      <x:c r="B17" s="6" t="s">
        <x:v>433</x:v>
      </x:c>
      <x:c r="C17" s="6" t="s">
        <x:v>160</x:v>
      </x:c>
      <x:c r="D17" s="15" t="s">
        <x:v>434</x:v>
      </x:c>
      <x:c r="E17" s="7"/>
    </x:row>
    <x:row r="18" ht="37.95000076293945" customHeight="1">
      <x:c r="B18" s="8" t="s">
        <x:v>435</x:v>
      </x:c>
      <x:c r="C18" s="8" t="s">
        <x:v>436</x:v>
      </x:c>
      <x:c r="D18" s="18" t="s">
        <x:v>437</x:v>
      </x:c>
      <x:c r="E18" s="9"/>
    </x:row>
    <x:row r="19" ht="37.95000076293945" customHeight="1">
      <x:c r="B19" s="6" t="s">
        <x:v>438</x:v>
      </x:c>
      <x:c r="C19" s="6" t="s">
        <x:v>175</x:v>
      </x:c>
      <x:c r="D19" s="15" t="s">
        <x:v>174</x:v>
      </x:c>
      <x:c r="E19" s="7"/>
    </x:row>
    <x:row r="20" ht="54" customHeight="1">
      <x:c r="B20" s="8" t="str">
        <x:v>PAYG: публикация 398 ₽; приглашение 49 + 147 ₽; неустойка 398 ₽</x:v>
      </x:c>
      <x:c r="C20" s="8" t="str">
        <x:v>Репозиторий comit_2, миграция 019_employer_expense_policy.sql</x:v>
      </x:c>
      <x:c r="D20" s="18" t="str">
        <x:v>https://github.com/mgg789/comit_2</x:v>
      </x:c>
      <x:c r="E20" s="9"/>
    </x:row>
  </x:sheetData>
  <x:mergeCells>
    <x:mergeCell ref="B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FFC000"/>
  </x:sheetPr>
  <x:sheetViews>
    <x:sheetView showGridLines="0" workbookViewId="0"/>
  </x:sheetViews>
  <x:sheetFormatPr defaultRowHeight="14.399999618530273"/>
  <x:cols>
    <x:col min="1" max="1" width="3" customWidth="1"/>
    <x:col min="2" max="2" width="48" customWidth="1"/>
    <x:col min="3" max="4" width="16" customWidth="1"/>
    <x:col min="5" max="5" width="10" customWidth="1"/>
  </x:cols>
  <x:sheetData>
    <x:row r="1" ht="15" customHeight="1"/>
    <x:row r="2" ht="31.950000762939453" customHeight="1">
      <x:c r="B2" s="63" t="s">
        <x:v>439</x:v>
      </x:c>
      <x:c r="C2" s="62"/>
      <x:c r="D2" s="62"/>
      <x:c r="E2" s="62"/>
    </x:row>
    <x:row r="3" ht="7.949999809265137" customHeight="1"/>
    <x:row r="4" ht="28.049999237060547" customHeight="1">
      <x:c r="B4" s="12" t="s">
        <x:v>440</x:v>
      </x:c>
      <x:c r="C4" s="12" t="s">
        <x:v>441</x:v>
      </x:c>
      <x:c r="D4" s="12" t="s">
        <x:v>442</x:v>
      </x:c>
      <x:c r="E4" s="12" t="s">
        <x:v>443</x:v>
      </x:c>
    </x:row>
    <x:row r="5" ht="22.049999237060547" customHeight="1">
      <x:c r="B5" s="6" t="s">
        <x:v>444</x:v>
      </x:c>
      <x:c r="C5" s="52" t="n">
        <x:f>SUM(Выручка!Z14:Z17)</x:f>
        <x:v>6211889.029533065</x:v>
      </x:c>
      <x:c r="D5" s="52" t="n">
        <x:f>Выручка!Z18</x:f>
        <x:v>6211889.029533065</x:v>
      </x:c>
      <x:c r="E5" s="59" t="str">
        <x:f>IF(ABS(C5-D5)&lt;1,"OK","FAIL")</x:f>
        <x:v>OK</x:v>
      </x:c>
    </x:row>
    <x:row r="6" ht="22.049999237060547" customHeight="1">
      <x:c r="B6" s="8" t="s">
        <x:v>445</x:v>
      </x:c>
      <x:c r="C6" s="44" t="n">
        <x:f>Выручка!Y8+Выручка!Z6-Выручка!Z7</x:f>
        <x:v>1021.5552215359961</x:v>
      </x:c>
      <x:c r="D6" s="44" t="n">
        <x:f>Выручка!Z8</x:f>
        <x:v>1021.5552215359961</x:v>
      </x:c>
      <x:c r="E6" s="60" t="str">
        <x:f>IF(ABS(C6-D6)&lt;1,"OK","FAIL")</x:f>
        <x:v>OK</x:v>
      </x:c>
    </x:row>
    <x:row r="7" ht="22.049999237060547" customHeight="1">
      <x:c r="B7" s="6" t="s">
        <x:v>446</x:v>
      </x:c>
      <x:c r="C7" s="52" t="n">
        <x:f>SUM(Затраты!Z8:Z13)</x:f>
        <x:v>2555491.371151427</x:v>
      </x:c>
      <x:c r="D7" s="52" t="n">
        <x:f>Затраты!Z14</x:f>
        <x:v>2555491.371151427</x:v>
      </x:c>
      <x:c r="E7" s="59" t="str">
        <x:f>IF(ABS(C7-D7)&lt;1,"OK","FAIL")</x:f>
        <x:v>OK</x:v>
      </x:c>
    </x:row>
    <x:row r="8" ht="22.049999237060547" customHeight="1">
      <x:c r="B8" s="8" t="s">
        <x:v>447</x:v>
      </x:c>
      <x:c r="C8" s="44" t="n">
        <x:f>Выручка!Z18-Затраты!Z14</x:f>
        <x:v>3656397.658381638</x:v>
      </x:c>
      <x:c r="D8" s="44" t="n">
        <x:f>Затраты!Z15</x:f>
        <x:v>3656397.658381638</x:v>
      </x:c>
      <x:c r="E8" s="60" t="str">
        <x:f>IF(ABS(C8-D8)&lt;1,"OK","FAIL")</x:f>
        <x:v>OK</x:v>
      </x:c>
    </x:row>
    <x:row r="9" ht="37.95000076293945" customHeight="1">
      <x:c r="B9" s="6" t="s">
        <x:v>448</x:v>
      </x:c>
      <x:c r="C9" s="52" t="n">
        <x:f>'Юнит-экономика'!C5*Выручка!Z8</x:f>
        <x:v>6182960.935236173</x:v>
      </x:c>
      <x:c r="D9" s="52" t="n">
        <x:f>Выручка!Z18</x:f>
        <x:v>6211889.029533065</x:v>
      </x:c>
      <x:c r="E9" s="59" t="str">
        <x:f>IF(ABS(C9-D9)&lt;=0.15*ABS(D9),"OK","FAIL")</x:f>
        <x:v>OK</x:v>
      </x:c>
    </x:row>
    <x:row r="10" ht="22.049999237060547" customHeight="1">
      <x:c r="B10" s="8" t="s">
        <x:v>449</x:v>
      </x:c>
      <x:c r="C10" s="44" t="n">
        <x:f>'Затраты работодателя'!F9-'Затраты работодателя'!F5</x:f>
        <x:v>441554</x:v>
      </x:c>
      <x:c r="D10" s="44" t="n">
        <x:f>'Затраты работодателя'!F13</x:f>
        <x:v>441554</x:v>
      </x:c>
      <x:c r="E10" s="60" t="str">
        <x:f>IF(ABS(C10-D10)&lt;1,"OK","FAIL")</x:f>
        <x:v>OK</x:v>
      </x:c>
    </x:row>
  </x:sheetData>
  <x:mergeCells>
    <x:mergeCell ref="B2:E2"/>
  </x:mergeCells>
  <x:pageMargins left="0.7" right="0.7" top="0.75" bottom="0.75" header="0.3" footer="0.3"/>
</x:worksheet>
</file>